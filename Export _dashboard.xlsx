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pivotTables/pivotTable5.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showInkAnnotation="0" hidePivotFieldList="1" autoCompressPictures="0" defaultThemeVersion="166925"/>
  <mc:AlternateContent xmlns:mc="http://schemas.openxmlformats.org/markup-compatibility/2006">
    <mc:Choice Requires="x15">
      <x15ac:absPath xmlns:x15ac="http://schemas.microsoft.com/office/spreadsheetml/2010/11/ac" url="https://d.docs.live.net/672fc629303e6f8b/Documents/"/>
    </mc:Choice>
  </mc:AlternateContent>
  <xr:revisionPtr revIDLastSave="7" documentId="8_{B1F92709-2C19-4301-A246-A248A875FA5D}" xr6:coauthVersionLast="47" xr6:coauthVersionMax="47" xr10:uidLastSave="{22B66EB7-1D8A-4492-87B1-3D18E4031E67}"/>
  <bookViews>
    <workbookView xWindow="-120" yWindow="-120" windowWidth="20730" windowHeight="11160" tabRatio="500" firstSheet="2" activeTab="5" xr2:uid="{00000000-000D-0000-FFFF-FFFF00000000}"/>
  </bookViews>
  <sheets>
    <sheet name="Top10_Barchart" sheetId="2" r:id="rId1"/>
    <sheet name="Dashboard" sheetId="3" r:id="rId2"/>
    <sheet name="Top_5_Export_Share" sheetId="4" r:id="rId3"/>
    <sheet name="Export_Comparision" sheetId="5" r:id="rId4"/>
    <sheet name="Slicer_Test" sheetId="6" r:id="rId5"/>
    <sheet name="KPI_Data" sheetId="7" r:id="rId6"/>
    <sheet name="Data" sheetId="1" r:id="rId7"/>
  </sheets>
  <definedNames>
    <definedName name="_xlnm._FilterDatabase" localSheetId="6" hidden="1">Data!$A$1:$G$241</definedName>
    <definedName name="Slicer_Country_Region">#N/A</definedName>
  </definedNames>
  <calcPr calcId="181029"/>
  <pivotCaches>
    <pivotCache cacheId="7"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C3" i="3" l="1"/>
</calcChain>
</file>

<file path=xl/sharedStrings.xml><?xml version="1.0" encoding="utf-8"?>
<sst xmlns="http://schemas.openxmlformats.org/spreadsheetml/2006/main" count="763" uniqueCount="255">
  <si>
    <t>S.No.</t>
  </si>
  <si>
    <t>Country/Region</t>
  </si>
  <si>
    <t>2023-2024</t>
  </si>
  <si>
    <t>%Share</t>
  </si>
  <si>
    <t>2024-2025</t>
  </si>
  <si>
    <t>%Growth</t>
  </si>
  <si>
    <t>AFGHANISTAN</t>
  </si>
  <si>
    <t>ALBANIA</t>
  </si>
  <si>
    <t>ALGERIA</t>
  </si>
  <si>
    <t>AMERI SAMOA</t>
  </si>
  <si>
    <t>ANDORRA</t>
  </si>
  <si>
    <t>ANGOLA</t>
  </si>
  <si>
    <t>ANGUILLA</t>
  </si>
  <si>
    <t>ANTARTICA</t>
  </si>
  <si>
    <t>ANTIGUA</t>
  </si>
  <si>
    <t>ARGENTINA</t>
  </si>
  <si>
    <t>ARMENIA</t>
  </si>
  <si>
    <t>ARUBA</t>
  </si>
  <si>
    <t>AUSTRALIA</t>
  </si>
  <si>
    <t>AUSTRIA</t>
  </si>
  <si>
    <t>AZERBAIJAN</t>
  </si>
  <si>
    <t>BAHAMAS</t>
  </si>
  <si>
    <t>BAHARAIN IS</t>
  </si>
  <si>
    <t>BANGLADESH PR</t>
  </si>
  <si>
    <t>BARBADOS</t>
  </si>
  <si>
    <t>BELARUS</t>
  </si>
  <si>
    <t>BELGIUM</t>
  </si>
  <si>
    <t>BELIZE</t>
  </si>
  <si>
    <t>BENIN</t>
  </si>
  <si>
    <t>BERMUDA</t>
  </si>
  <si>
    <t>BHUTAN</t>
  </si>
  <si>
    <t>BOLIVIA</t>
  </si>
  <si>
    <t>BOSNIA-HRZGOVIN</t>
  </si>
  <si>
    <t>BOTSWANA</t>
  </si>
  <si>
    <t>BR VIRGN IS</t>
  </si>
  <si>
    <t>BRAZIL</t>
  </si>
  <si>
    <t>BRITISH INDIAN</t>
  </si>
  <si>
    <t>BRUNEI</t>
  </si>
  <si>
    <t>BULGARIA</t>
  </si>
  <si>
    <t>BURKINA FASO</t>
  </si>
  <si>
    <t>BURUNDI</t>
  </si>
  <si>
    <t>C AFRI REP</t>
  </si>
  <si>
    <t>CAMBODIA</t>
  </si>
  <si>
    <t>CAMEROON</t>
  </si>
  <si>
    <t>CANADA</t>
  </si>
  <si>
    <t>CAPE VERDE IS</t>
  </si>
  <si>
    <t>CAYMAN IS</t>
  </si>
  <si>
    <t>CHAD</t>
  </si>
  <si>
    <t>CHILE</t>
  </si>
  <si>
    <t>CHINA P RP</t>
  </si>
  <si>
    <t>CHRISTMAS IS.</t>
  </si>
  <si>
    <t>COCOS IS</t>
  </si>
  <si>
    <t>COLOMBIA</t>
  </si>
  <si>
    <t>COMOROS</t>
  </si>
  <si>
    <t>CONGO D. REP.</t>
  </si>
  <si>
    <t>CONGO P REP</t>
  </si>
  <si>
    <t>COOK IS</t>
  </si>
  <si>
    <t>COSTA RICA</t>
  </si>
  <si>
    <t>COTE D' IVOIRE</t>
  </si>
  <si>
    <t>CROATIA</t>
  </si>
  <si>
    <t>CUBA</t>
  </si>
  <si>
    <t>CURACAO</t>
  </si>
  <si>
    <t>CYPRUS</t>
  </si>
  <si>
    <t>CZECH REPUBLIC</t>
  </si>
  <si>
    <t>DENMARK</t>
  </si>
  <si>
    <t>DJIBOUTI</t>
  </si>
  <si>
    <t>DOMINIC REP</t>
  </si>
  <si>
    <t>DOMINICA</t>
  </si>
  <si>
    <t>ECUADOR</t>
  </si>
  <si>
    <t>EGYPT A RP</t>
  </si>
  <si>
    <t>EL SALVADOR</t>
  </si>
  <si>
    <t>EQUTL GUINEA</t>
  </si>
  <si>
    <t>ERITREA</t>
  </si>
  <si>
    <t>ESTONIA</t>
  </si>
  <si>
    <t>ETHIOPIA</t>
  </si>
  <si>
    <t>FALKLAND IS</t>
  </si>
  <si>
    <t>FAROE IS.</t>
  </si>
  <si>
    <t>FIJI IS</t>
  </si>
  <si>
    <t>FINLAND</t>
  </si>
  <si>
    <t>FR GUIANA</t>
  </si>
  <si>
    <t>FR POLYNESIA</t>
  </si>
  <si>
    <t>FRANCE</t>
  </si>
  <si>
    <t>GABON</t>
  </si>
  <si>
    <t>GAMBIA</t>
  </si>
  <si>
    <t>GEORGIA</t>
  </si>
  <si>
    <t>GERMANY</t>
  </si>
  <si>
    <t>GHANA</t>
  </si>
  <si>
    <t>GIBRALTAR</t>
  </si>
  <si>
    <t>GREECE</t>
  </si>
  <si>
    <t>GREENLAND</t>
  </si>
  <si>
    <t>GRENADA</t>
  </si>
  <si>
    <t>GUADELOUPE</t>
  </si>
  <si>
    <t>GUAM</t>
  </si>
  <si>
    <t>GUATEMALA</t>
  </si>
  <si>
    <t>GUERNSEY</t>
  </si>
  <si>
    <t>GUINEA</t>
  </si>
  <si>
    <t>GUINEA BISSAU</t>
  </si>
  <si>
    <t>GUYANA</t>
  </si>
  <si>
    <t>HAITI</t>
  </si>
  <si>
    <t>HONDURAS</t>
  </si>
  <si>
    <t>HONG KONG</t>
  </si>
  <si>
    <t>HUNGARY</t>
  </si>
  <si>
    <t>ICELAND</t>
  </si>
  <si>
    <t>INDONESIA</t>
  </si>
  <si>
    <t>INSTALLATIONS IN INTERNATIONAL WATERS</t>
  </si>
  <si>
    <t>IRAN</t>
  </si>
  <si>
    <t>IRAQ</t>
  </si>
  <si>
    <t>IRELAND</t>
  </si>
  <si>
    <t>ISRAEL</t>
  </si>
  <si>
    <t>ITALY</t>
  </si>
  <si>
    <t>JAMAICA</t>
  </si>
  <si>
    <t>JAPAN</t>
  </si>
  <si>
    <t>JERSEY</t>
  </si>
  <si>
    <t>JORDAN</t>
  </si>
  <si>
    <t>KAZAKHSTAN</t>
  </si>
  <si>
    <t>KENYA</t>
  </si>
  <si>
    <t>KIRIBATI REP</t>
  </si>
  <si>
    <t>KOREA DP RP</t>
  </si>
  <si>
    <t>KOREA RP</t>
  </si>
  <si>
    <t>KUWAIT</t>
  </si>
  <si>
    <t>KYRGHYZSTAN</t>
  </si>
  <si>
    <t>LAO PD RP</t>
  </si>
  <si>
    <t>LATVIA</t>
  </si>
  <si>
    <t>LEBANON</t>
  </si>
  <si>
    <t>LESOTHO</t>
  </si>
  <si>
    <t>LIBERIA</t>
  </si>
  <si>
    <t>LIBYA</t>
  </si>
  <si>
    <t>LIECHTENSTEIN</t>
  </si>
  <si>
    <t>LITHUANIA</t>
  </si>
  <si>
    <t>LUXEMBOURG</t>
  </si>
  <si>
    <t>MACAO</t>
  </si>
  <si>
    <t>MACEDONIA</t>
  </si>
  <si>
    <t>MADAGASCAR</t>
  </si>
  <si>
    <t>MALAWI</t>
  </si>
  <si>
    <t>MALAYSIA</t>
  </si>
  <si>
    <t>MALDIVES</t>
  </si>
  <si>
    <t>MALI</t>
  </si>
  <si>
    <t>MALTA</t>
  </si>
  <si>
    <t>MARSHALL ISLAND</t>
  </si>
  <si>
    <t>MARTINIQUE</t>
  </si>
  <si>
    <t>MAURITANIA</t>
  </si>
  <si>
    <t>MAURITIUS</t>
  </si>
  <si>
    <t>MAYOTTE</t>
  </si>
  <si>
    <t>MEXICO</t>
  </si>
  <si>
    <t>MICRONESIA</t>
  </si>
  <si>
    <t>MOLDOVA</t>
  </si>
  <si>
    <t>MONACO</t>
  </si>
  <si>
    <t>MONGOLIA</t>
  </si>
  <si>
    <t>MONTENEGRO</t>
  </si>
  <si>
    <t>MONTSERRAT</t>
  </si>
  <si>
    <t>MOROCCO</t>
  </si>
  <si>
    <t>MOZAMBIQUE</t>
  </si>
  <si>
    <t>MYANMAR</t>
  </si>
  <si>
    <t>N. MARIANA IS.</t>
  </si>
  <si>
    <t>NAMIBIA</t>
  </si>
  <si>
    <t>NAURU RP</t>
  </si>
  <si>
    <t>NEPAL</t>
  </si>
  <si>
    <t>NETHERLAND</t>
  </si>
  <si>
    <t>NETHERLANDANTIL</t>
  </si>
  <si>
    <t>NEW CALEDONIA</t>
  </si>
  <si>
    <t>NEW ZEALAND</t>
  </si>
  <si>
    <t>NICARAGUA</t>
  </si>
  <si>
    <t>NIGER</t>
  </si>
  <si>
    <t>NIGERIA</t>
  </si>
  <si>
    <t>NORFOLK IS</t>
  </si>
  <si>
    <t>NORWAY</t>
  </si>
  <si>
    <t>OMAN</t>
  </si>
  <si>
    <t>PAKISTAN IR</t>
  </si>
  <si>
    <t>PALAU</t>
  </si>
  <si>
    <t>PANAMA REPUBLIC</t>
  </si>
  <si>
    <t>PAPUA N GNA</t>
  </si>
  <si>
    <t>PARAGUAY</t>
  </si>
  <si>
    <t>PERU</t>
  </si>
  <si>
    <t>PHILIPPINES</t>
  </si>
  <si>
    <t>PITCAIRN IS.</t>
  </si>
  <si>
    <t>POLAND</t>
  </si>
  <si>
    <t>PORTUGAL</t>
  </si>
  <si>
    <t>PUERTO RICO</t>
  </si>
  <si>
    <t>QATAR</t>
  </si>
  <si>
    <t>REUNION</t>
  </si>
  <si>
    <t>ROMANIA</t>
  </si>
  <si>
    <t>RUSSIA</t>
  </si>
  <si>
    <t>RWANDA</t>
  </si>
  <si>
    <t>SAHARWI A.DM RP</t>
  </si>
  <si>
    <t>SAMOA</t>
  </si>
  <si>
    <t>SAN MARINO</t>
  </si>
  <si>
    <t>SAO TOME</t>
  </si>
  <si>
    <t>SAUDI ARAB</t>
  </si>
  <si>
    <t>SENEGAL</t>
  </si>
  <si>
    <t>SERBIA</t>
  </si>
  <si>
    <t>SEYCHELLES</t>
  </si>
  <si>
    <t>SIERRA LEONE</t>
  </si>
  <si>
    <t>SINGAPORE</t>
  </si>
  <si>
    <t>SINT MAARTEN (DUTCH PART)</t>
  </si>
  <si>
    <t>SLOVAK REP</t>
  </si>
  <si>
    <t>SLOVENIA</t>
  </si>
  <si>
    <t>SOLOMON IS</t>
  </si>
  <si>
    <t>SOMALIA</t>
  </si>
  <si>
    <t>SOUTH AFRICA</t>
  </si>
  <si>
    <t>SOUTH SUDAN</t>
  </si>
  <si>
    <t>SPAIN</t>
  </si>
  <si>
    <t>SRI LANKA DSR</t>
  </si>
  <si>
    <t>ST HELENA</t>
  </si>
  <si>
    <t>ST KITT N A</t>
  </si>
  <si>
    <t>ST LUCIA</t>
  </si>
  <si>
    <t>ST VINCENT</t>
  </si>
  <si>
    <t>STATE OF PALEST</t>
  </si>
  <si>
    <t>SUDAN</t>
  </si>
  <si>
    <t>SURINAME</t>
  </si>
  <si>
    <t>SVALLBARD AND J</t>
  </si>
  <si>
    <t>SWAZILAND</t>
  </si>
  <si>
    <t>SWEDEN</t>
  </si>
  <si>
    <t>SWITZERLAND</t>
  </si>
  <si>
    <t>SYRIA</t>
  </si>
  <si>
    <t>TAIWAN</t>
  </si>
  <si>
    <t>TAJIKISTAN</t>
  </si>
  <si>
    <t>TANZANIA REP</t>
  </si>
  <si>
    <t>THAILAND</t>
  </si>
  <si>
    <t>TIMOR LESTE</t>
  </si>
  <si>
    <t>TOGO</t>
  </si>
  <si>
    <t>TOKELAU IS</t>
  </si>
  <si>
    <t>TONGA</t>
  </si>
  <si>
    <t>TRINIDAD</t>
  </si>
  <si>
    <t>TUNISIA</t>
  </si>
  <si>
    <t>TURKEY</t>
  </si>
  <si>
    <t>TURKMENISTAN</t>
  </si>
  <si>
    <t>TURKS C IS</t>
  </si>
  <si>
    <t>TUVALU</t>
  </si>
  <si>
    <t>U ARAB EMTS</t>
  </si>
  <si>
    <t>U K</t>
  </si>
  <si>
    <t>U S A</t>
  </si>
  <si>
    <t>UGANDA</t>
  </si>
  <si>
    <t>UKRAINE</t>
  </si>
  <si>
    <t>UNION OF SERBIA &amp; MONTENEGRO</t>
  </si>
  <si>
    <t>UNSPECIFIED</t>
  </si>
  <si>
    <t>URUGUAY</t>
  </si>
  <si>
    <t>US MINOR OUTLYING ISLANDS</t>
  </si>
  <si>
    <t>UZBEKISTAN</t>
  </si>
  <si>
    <t>VANUATU REP</t>
  </si>
  <si>
    <t>VATICAN CITY</t>
  </si>
  <si>
    <t>VENEZUELA</t>
  </si>
  <si>
    <t>VIETNAM SOC REP</t>
  </si>
  <si>
    <t>VIRGIN IS US</t>
  </si>
  <si>
    <t>YEMEN REPUBLC</t>
  </si>
  <si>
    <t>ZAMBIA</t>
  </si>
  <si>
    <t>ZIMBABWE</t>
  </si>
  <si>
    <t>%Share2</t>
  </si>
  <si>
    <t>Row Labels</t>
  </si>
  <si>
    <t>Grand Total</t>
  </si>
  <si>
    <t>Sum of 2023-2024</t>
  </si>
  <si>
    <t>Sum of 2024-2025</t>
  </si>
  <si>
    <t>Total Export 2024-25</t>
  </si>
  <si>
    <t>Growth %</t>
  </si>
  <si>
    <t>Export Performance Overview</t>
  </si>
  <si>
    <t>Total Exort 2023-24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</si>
</sst>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libri"/>
    </font>
    <font>
      <b/>
      <sz val="11"/>
      <name val="Calibri"/>
    </font>
    <font>
      <b/>
      <sz val="11"/>
      <color theme="1"/>
      <name val="Calibri"/>
    </font>
    <font>
      <b/>
      <sz val="11"/>
      <name val="Calibr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1" fillId="0" borderId="0" xfId="0" applyFont="1"/>
    <xf numFmtId="1" fontId="0" fillId="0" borderId="0" xfId="0" applyNumberFormat="1"/>
    <xf numFmtId="2" fontId="0" fillId="0" borderId="0" xfId="0" applyNumberFormat="1"/>
    <xf numFmtId="2" fontId="1" fillId="0" borderId="0" xfId="0" applyNumberFormat="1" applyFont="1"/>
    <xf numFmtId="0" fontId="0" fillId="0" borderId="0" xfId="0" pivotButton="1"/>
    <xf numFmtId="0" fontId="0" fillId="0" borderId="0" xfId="0" applyAlignment="1">
      <alignment horizontal="left"/>
    </xf>
    <xf numFmtId="2" fontId="2" fillId="0" borderId="1" xfId="0" applyNumberFormat="1" applyFont="1" applyBorder="1"/>
    <xf numFmtId="0" fontId="0" fillId="0" borderId="0" xfId="0" applyBorder="1"/>
    <xf numFmtId="0" fontId="0" fillId="0" borderId="0" xfId="0" applyAlignment="1">
      <alignment horizontal="center"/>
    </xf>
    <xf numFmtId="0" fontId="3" fillId="0" borderId="1" xfId="0" applyFont="1" applyBorder="1"/>
    <xf numFmtId="0" fontId="3" fillId="0" borderId="1" xfId="0" applyFont="1" applyBorder="1" applyAlignment="1">
      <alignment horizontal="center"/>
    </xf>
  </cellXfs>
  <cellStyles count="1">
    <cellStyle name="Normal" xfId="0" builtinId="0"/>
  </cellStyles>
  <dxfs count="8">
    <dxf>
      <font>
        <color rgb="FF9C0006"/>
      </font>
      <fill>
        <patternFill>
          <bgColor rgb="FFFFC7CE"/>
        </patternFill>
      </fill>
    </dxf>
    <dxf>
      <font>
        <color rgb="FF9C0006"/>
      </font>
      <fill>
        <patternFill>
          <bgColor rgb="FFFFC7CE"/>
        </patternFill>
      </fill>
    </dxf>
    <dxf>
      <numFmt numFmtId="2" formatCode="0.00"/>
    </dxf>
    <dxf>
      <numFmt numFmtId="2" formatCode="0.00"/>
    </dxf>
    <dxf>
      <numFmt numFmtId="2" formatCode="0.00"/>
    </dxf>
    <dxf>
      <numFmt numFmtId="2" formatCode="0.00"/>
    </dxf>
    <dxf>
      <numFmt numFmtId="2" formatCode="0.00"/>
    </dxf>
    <dxf>
      <font>
        <b/>
        <i val="0"/>
        <strike val="0"/>
        <condense val="0"/>
        <extend val="0"/>
        <outline val="0"/>
        <shadow val="0"/>
        <u val="none"/>
        <vertAlign val="baseline"/>
        <sz val="11"/>
        <color auto="1"/>
        <name val="Calibri"/>
        <scheme val="none"/>
      </font>
      <numFmt numFmtId="2" formatCode="0.00"/>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[Export _dashboard.xlsx]Top10_Barchart!PivotTable1</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559433172184726"/>
          <c:y val="0.11439803881537329"/>
          <c:w val="0.57213742647906118"/>
          <c:h val="0.83392073016247126"/>
        </c:manualLayout>
      </c:layout>
      <c:barChart>
        <c:barDir val="bar"/>
        <c:grouping val="clustered"/>
        <c:varyColors val="0"/>
        <c:ser>
          <c:idx val="0"/>
          <c:order val="0"/>
          <c:tx>
            <c:strRef>
              <c:f>Top10_Barchart!$B$3</c:f>
              <c:strCache>
                <c:ptCount val="1"/>
                <c:pt idx="0">
                  <c:v>Sum of 2023-2024</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Top10_Barchart!$A$4:$A$14</c:f>
              <c:strCache>
                <c:ptCount val="10"/>
                <c:pt idx="0">
                  <c:v>U S A</c:v>
                </c:pt>
                <c:pt idx="1">
                  <c:v>U ARAB EMTS</c:v>
                </c:pt>
                <c:pt idx="2">
                  <c:v>NETHERLAND</c:v>
                </c:pt>
                <c:pt idx="3">
                  <c:v>U K</c:v>
                </c:pt>
                <c:pt idx="4">
                  <c:v>CHINA P RP</c:v>
                </c:pt>
                <c:pt idx="5">
                  <c:v>SINGAPORE</c:v>
                </c:pt>
                <c:pt idx="6">
                  <c:v>SAUDI ARAB</c:v>
                </c:pt>
                <c:pt idx="7">
                  <c:v>BANGLADESH PR</c:v>
                </c:pt>
                <c:pt idx="8">
                  <c:v>GERMANY</c:v>
                </c:pt>
                <c:pt idx="9">
                  <c:v>ITALY</c:v>
                </c:pt>
              </c:strCache>
            </c:strRef>
          </c:cat>
          <c:val>
            <c:numRef>
              <c:f>Top10_Barchart!$B$4:$B$14</c:f>
              <c:numCache>
                <c:formatCode>0.00</c:formatCode>
                <c:ptCount val="10"/>
                <c:pt idx="0">
                  <c:v>77515.03</c:v>
                </c:pt>
                <c:pt idx="1">
                  <c:v>35625.019999999997</c:v>
                </c:pt>
                <c:pt idx="2">
                  <c:v>22366.86</c:v>
                </c:pt>
                <c:pt idx="3">
                  <c:v>12922.65</c:v>
                </c:pt>
                <c:pt idx="4">
                  <c:v>16658.91</c:v>
                </c:pt>
                <c:pt idx="5">
                  <c:v>14414.27</c:v>
                </c:pt>
                <c:pt idx="6">
                  <c:v>11558.57</c:v>
                </c:pt>
                <c:pt idx="7">
                  <c:v>11065.87</c:v>
                </c:pt>
                <c:pt idx="8">
                  <c:v>9839.6299999999992</c:v>
                </c:pt>
                <c:pt idx="9">
                  <c:v>8765.7800000000007</c:v>
                </c:pt>
              </c:numCache>
            </c:numRef>
          </c:val>
          <c:extLst>
            <c:ext xmlns:c16="http://schemas.microsoft.com/office/drawing/2014/chart" uri="{C3380CC4-5D6E-409C-BE32-E72D297353CC}">
              <c16:uniqueId val="{00000000-AFAF-4095-8FE1-49F546766A92}"/>
            </c:ext>
          </c:extLst>
        </c:ser>
        <c:ser>
          <c:idx val="1"/>
          <c:order val="1"/>
          <c:tx>
            <c:strRef>
              <c:f>Top10_Barchart!$C$3</c:f>
              <c:strCache>
                <c:ptCount val="1"/>
                <c:pt idx="0">
                  <c:v>Sum of 2024-2025</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Top10_Barchart!$A$4:$A$14</c:f>
              <c:strCache>
                <c:ptCount val="10"/>
                <c:pt idx="0">
                  <c:v>U S A</c:v>
                </c:pt>
                <c:pt idx="1">
                  <c:v>U ARAB EMTS</c:v>
                </c:pt>
                <c:pt idx="2">
                  <c:v>NETHERLAND</c:v>
                </c:pt>
                <c:pt idx="3">
                  <c:v>U K</c:v>
                </c:pt>
                <c:pt idx="4">
                  <c:v>CHINA P RP</c:v>
                </c:pt>
                <c:pt idx="5">
                  <c:v>SINGAPORE</c:v>
                </c:pt>
                <c:pt idx="6">
                  <c:v>SAUDI ARAB</c:v>
                </c:pt>
                <c:pt idx="7">
                  <c:v>BANGLADESH PR</c:v>
                </c:pt>
                <c:pt idx="8">
                  <c:v>GERMANY</c:v>
                </c:pt>
                <c:pt idx="9">
                  <c:v>ITALY</c:v>
                </c:pt>
              </c:strCache>
            </c:strRef>
          </c:cat>
          <c:val>
            <c:numRef>
              <c:f>Top10_Barchart!$C$4:$C$14</c:f>
              <c:numCache>
                <c:formatCode>0.00</c:formatCode>
                <c:ptCount val="10"/>
                <c:pt idx="0">
                  <c:v>86514.28</c:v>
                </c:pt>
                <c:pt idx="1">
                  <c:v>36638.019999999997</c:v>
                </c:pt>
                <c:pt idx="2">
                  <c:v>22763.41</c:v>
                </c:pt>
                <c:pt idx="3">
                  <c:v>14549.95</c:v>
                </c:pt>
                <c:pt idx="4">
                  <c:v>14252.21</c:v>
                </c:pt>
                <c:pt idx="5">
                  <c:v>12976.15</c:v>
                </c:pt>
                <c:pt idx="6">
                  <c:v>11756.65</c:v>
                </c:pt>
                <c:pt idx="7">
                  <c:v>11485.26</c:v>
                </c:pt>
                <c:pt idx="8">
                  <c:v>10628.61</c:v>
                </c:pt>
                <c:pt idx="9">
                  <c:v>7727.33</c:v>
                </c:pt>
              </c:numCache>
            </c:numRef>
          </c:val>
          <c:extLst>
            <c:ext xmlns:c16="http://schemas.microsoft.com/office/drawing/2014/chart" uri="{C3380CC4-5D6E-409C-BE32-E72D297353CC}">
              <c16:uniqueId val="{00000001-AFAF-4095-8FE1-49F546766A92}"/>
            </c:ext>
          </c:extLst>
        </c:ser>
        <c:dLbls>
          <c:dLblPos val="outEnd"/>
          <c:showLegendKey val="0"/>
          <c:showVal val="1"/>
          <c:showCatName val="0"/>
          <c:showSerName val="0"/>
          <c:showPercent val="0"/>
          <c:showBubbleSize val="0"/>
        </c:dLbls>
        <c:gapWidth val="182"/>
        <c:axId val="901689487"/>
        <c:axId val="901707247"/>
      </c:barChart>
      <c:catAx>
        <c:axId val="9016894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1707247"/>
        <c:crosses val="autoZero"/>
        <c:auto val="1"/>
        <c:lblAlgn val="ctr"/>
        <c:lblOffset val="100"/>
        <c:noMultiLvlLbl val="0"/>
      </c:catAx>
      <c:valAx>
        <c:axId val="901707247"/>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1689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[Export _dashboard.xlsx]Top10_Barchart!PivotTable1</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Top10_Barchart!$B$3</c:f>
              <c:strCache>
                <c:ptCount val="1"/>
                <c:pt idx="0">
                  <c:v>Sum of 2023-2024</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Top10_Barchart!$A$4:$A$14</c:f>
              <c:strCache>
                <c:ptCount val="10"/>
                <c:pt idx="0">
                  <c:v>U S A</c:v>
                </c:pt>
                <c:pt idx="1">
                  <c:v>U ARAB EMTS</c:v>
                </c:pt>
                <c:pt idx="2">
                  <c:v>NETHERLAND</c:v>
                </c:pt>
                <c:pt idx="3">
                  <c:v>U K</c:v>
                </c:pt>
                <c:pt idx="4">
                  <c:v>CHINA P RP</c:v>
                </c:pt>
                <c:pt idx="5">
                  <c:v>SINGAPORE</c:v>
                </c:pt>
                <c:pt idx="6">
                  <c:v>SAUDI ARAB</c:v>
                </c:pt>
                <c:pt idx="7">
                  <c:v>BANGLADESH PR</c:v>
                </c:pt>
                <c:pt idx="8">
                  <c:v>GERMANY</c:v>
                </c:pt>
                <c:pt idx="9">
                  <c:v>ITALY</c:v>
                </c:pt>
              </c:strCache>
            </c:strRef>
          </c:cat>
          <c:val>
            <c:numRef>
              <c:f>Top10_Barchart!$B$4:$B$14</c:f>
              <c:numCache>
                <c:formatCode>0.00</c:formatCode>
                <c:ptCount val="10"/>
                <c:pt idx="0">
                  <c:v>77515.03</c:v>
                </c:pt>
                <c:pt idx="1">
                  <c:v>35625.019999999997</c:v>
                </c:pt>
                <c:pt idx="2">
                  <c:v>22366.86</c:v>
                </c:pt>
                <c:pt idx="3">
                  <c:v>12922.65</c:v>
                </c:pt>
                <c:pt idx="4">
                  <c:v>16658.91</c:v>
                </c:pt>
                <c:pt idx="5">
                  <c:v>14414.27</c:v>
                </c:pt>
                <c:pt idx="6">
                  <c:v>11558.57</c:v>
                </c:pt>
                <c:pt idx="7">
                  <c:v>11065.87</c:v>
                </c:pt>
                <c:pt idx="8">
                  <c:v>9839.6299999999992</c:v>
                </c:pt>
                <c:pt idx="9">
                  <c:v>8765.7800000000007</c:v>
                </c:pt>
              </c:numCache>
            </c:numRef>
          </c:val>
          <c:extLst>
            <c:ext xmlns:c16="http://schemas.microsoft.com/office/drawing/2014/chart" uri="{C3380CC4-5D6E-409C-BE32-E72D297353CC}">
              <c16:uniqueId val="{00000000-61EA-4250-B18A-CA654363E290}"/>
            </c:ext>
          </c:extLst>
        </c:ser>
        <c:ser>
          <c:idx val="1"/>
          <c:order val="1"/>
          <c:tx>
            <c:strRef>
              <c:f>Top10_Barchart!$C$3</c:f>
              <c:strCache>
                <c:ptCount val="1"/>
                <c:pt idx="0">
                  <c:v>Sum of 2024-2025</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Top10_Barchart!$A$4:$A$14</c:f>
              <c:strCache>
                <c:ptCount val="10"/>
                <c:pt idx="0">
                  <c:v>U S A</c:v>
                </c:pt>
                <c:pt idx="1">
                  <c:v>U ARAB EMTS</c:v>
                </c:pt>
                <c:pt idx="2">
                  <c:v>NETHERLAND</c:v>
                </c:pt>
                <c:pt idx="3">
                  <c:v>U K</c:v>
                </c:pt>
                <c:pt idx="4">
                  <c:v>CHINA P RP</c:v>
                </c:pt>
                <c:pt idx="5">
                  <c:v>SINGAPORE</c:v>
                </c:pt>
                <c:pt idx="6">
                  <c:v>SAUDI ARAB</c:v>
                </c:pt>
                <c:pt idx="7">
                  <c:v>BANGLADESH PR</c:v>
                </c:pt>
                <c:pt idx="8">
                  <c:v>GERMANY</c:v>
                </c:pt>
                <c:pt idx="9">
                  <c:v>ITALY</c:v>
                </c:pt>
              </c:strCache>
            </c:strRef>
          </c:cat>
          <c:val>
            <c:numRef>
              <c:f>Top10_Barchart!$C$4:$C$14</c:f>
              <c:numCache>
                <c:formatCode>0.00</c:formatCode>
                <c:ptCount val="10"/>
                <c:pt idx="0">
                  <c:v>86514.28</c:v>
                </c:pt>
                <c:pt idx="1">
                  <c:v>36638.019999999997</c:v>
                </c:pt>
                <c:pt idx="2">
                  <c:v>22763.41</c:v>
                </c:pt>
                <c:pt idx="3">
                  <c:v>14549.95</c:v>
                </c:pt>
                <c:pt idx="4">
                  <c:v>14252.21</c:v>
                </c:pt>
                <c:pt idx="5">
                  <c:v>12976.15</c:v>
                </c:pt>
                <c:pt idx="6">
                  <c:v>11756.65</c:v>
                </c:pt>
                <c:pt idx="7">
                  <c:v>11485.26</c:v>
                </c:pt>
                <c:pt idx="8">
                  <c:v>10628.61</c:v>
                </c:pt>
                <c:pt idx="9">
                  <c:v>7727.33</c:v>
                </c:pt>
              </c:numCache>
            </c:numRef>
          </c:val>
          <c:extLst>
            <c:ext xmlns:c16="http://schemas.microsoft.com/office/drawing/2014/chart" uri="{C3380CC4-5D6E-409C-BE32-E72D297353CC}">
              <c16:uniqueId val="{00000001-61EA-4250-B18A-CA654363E290}"/>
            </c:ext>
          </c:extLst>
        </c:ser>
        <c:dLbls>
          <c:dLblPos val="outEnd"/>
          <c:showLegendKey val="0"/>
          <c:showVal val="1"/>
          <c:showCatName val="0"/>
          <c:showSerName val="0"/>
          <c:showPercent val="0"/>
          <c:showBubbleSize val="0"/>
        </c:dLbls>
        <c:gapWidth val="182"/>
        <c:axId val="901689487"/>
        <c:axId val="901707247"/>
      </c:barChart>
      <c:catAx>
        <c:axId val="9016894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1707247"/>
        <c:crosses val="autoZero"/>
        <c:auto val="1"/>
        <c:lblAlgn val="ctr"/>
        <c:lblOffset val="100"/>
        <c:noMultiLvlLbl val="0"/>
      </c:catAx>
      <c:valAx>
        <c:axId val="901707247"/>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1689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[Export _dashboard.xlsx]Top_5_Export_Share!PivotTable2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Top_5_Export_Share!$B$3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C62-431B-81F3-CE337C6F3D3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C62-431B-81F3-CE337C6F3D3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C62-431B-81F3-CE337C6F3D3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C62-431B-81F3-CE337C6F3D3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C62-431B-81F3-CE337C6F3D3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Top_5_Export_Share!$A$4:$A$9</c:f>
              <c:strCache>
                <c:ptCount val="5"/>
                <c:pt idx="0">
                  <c:v>U S A</c:v>
                </c:pt>
                <c:pt idx="1">
                  <c:v>U ARAB EMTS</c:v>
                </c:pt>
                <c:pt idx="2">
                  <c:v>NETHERLAND</c:v>
                </c:pt>
                <c:pt idx="3">
                  <c:v>U K</c:v>
                </c:pt>
                <c:pt idx="4">
                  <c:v>CHINA P RP</c:v>
                </c:pt>
              </c:strCache>
            </c:strRef>
          </c:cat>
          <c:val>
            <c:numRef>
              <c:f>Top_5_Export_Share!$B$4:$B$9</c:f>
              <c:numCache>
                <c:formatCode>0.00</c:formatCode>
                <c:ptCount val="5"/>
                <c:pt idx="0">
                  <c:v>86514.28</c:v>
                </c:pt>
                <c:pt idx="1">
                  <c:v>36638.019999999997</c:v>
                </c:pt>
                <c:pt idx="2">
                  <c:v>22763.41</c:v>
                </c:pt>
                <c:pt idx="3">
                  <c:v>14549.95</c:v>
                </c:pt>
                <c:pt idx="4">
                  <c:v>14252.21</c:v>
                </c:pt>
              </c:numCache>
            </c:numRef>
          </c:val>
          <c:extLst>
            <c:ext xmlns:c16="http://schemas.microsoft.com/office/drawing/2014/chart" uri="{C3380CC4-5D6E-409C-BE32-E72D297353CC}">
              <c16:uniqueId val="{0000000A-BC62-431B-81F3-CE337C6F3D3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3975168551199122"/>
          <c:y val="0.36212954591532004"/>
          <c:w val="0.22541337206425691"/>
          <c:h val="0.3131725653291250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[Export _dashboard.xlsx]Export_Comparision!PivotTable3</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Export_Comparision!$A$3</c:f>
              <c:strCache>
                <c:ptCount val="1"/>
                <c:pt idx="0">
                  <c:v>Sum of 2023-2024</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Export_Comparision!$A$4</c:f>
              <c:strCache>
                <c:ptCount val="1"/>
                <c:pt idx="0">
                  <c:v>Total</c:v>
                </c:pt>
              </c:strCache>
            </c:strRef>
          </c:cat>
          <c:val>
            <c:numRef>
              <c:f>Export_Comparision!$A$4</c:f>
              <c:numCache>
                <c:formatCode>0.00</c:formatCode>
                <c:ptCount val="1"/>
                <c:pt idx="0">
                  <c:v>437072.06000000011</c:v>
                </c:pt>
              </c:numCache>
            </c:numRef>
          </c:val>
          <c:extLst>
            <c:ext xmlns:c16="http://schemas.microsoft.com/office/drawing/2014/chart" uri="{C3380CC4-5D6E-409C-BE32-E72D297353CC}">
              <c16:uniqueId val="{00000000-9ECE-4FAB-B7AE-4D40F777AF6B}"/>
            </c:ext>
          </c:extLst>
        </c:ser>
        <c:ser>
          <c:idx val="1"/>
          <c:order val="1"/>
          <c:tx>
            <c:strRef>
              <c:f>Export_Comparision!$B$3</c:f>
              <c:strCache>
                <c:ptCount val="1"/>
                <c:pt idx="0">
                  <c:v>Sum of 2024-2025</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Export_Comparision!$A$4</c:f>
              <c:strCache>
                <c:ptCount val="1"/>
                <c:pt idx="0">
                  <c:v>Total</c:v>
                </c:pt>
              </c:strCache>
            </c:strRef>
          </c:cat>
          <c:val>
            <c:numRef>
              <c:f>Export_Comparision!$B$4</c:f>
              <c:numCache>
                <c:formatCode>0.00</c:formatCode>
                <c:ptCount val="1"/>
                <c:pt idx="0">
                  <c:v>437704.54999999987</c:v>
                </c:pt>
              </c:numCache>
            </c:numRef>
          </c:val>
          <c:extLst>
            <c:ext xmlns:c16="http://schemas.microsoft.com/office/drawing/2014/chart" uri="{C3380CC4-5D6E-409C-BE32-E72D297353CC}">
              <c16:uniqueId val="{00000001-9ECE-4FAB-B7AE-4D40F777AF6B}"/>
            </c:ext>
          </c:extLst>
        </c:ser>
        <c:dLbls>
          <c:dLblPos val="outEnd"/>
          <c:showLegendKey val="0"/>
          <c:showVal val="1"/>
          <c:showCatName val="0"/>
          <c:showSerName val="0"/>
          <c:showPercent val="0"/>
          <c:showBubbleSize val="0"/>
        </c:dLbls>
        <c:gapWidth val="219"/>
        <c:overlap val="-27"/>
        <c:axId val="1231653199"/>
        <c:axId val="1231645519"/>
      </c:barChart>
      <c:catAx>
        <c:axId val="1231653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645519"/>
        <c:crosses val="autoZero"/>
        <c:auto val="1"/>
        <c:lblAlgn val="ctr"/>
        <c:lblOffset val="100"/>
        <c:noMultiLvlLbl val="0"/>
      </c:catAx>
      <c:valAx>
        <c:axId val="123164551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653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[Export _dashboard.xlsx]Top_5_Export_Share!PivotTable2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Top_5_Export_Share!$B$3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Top_5_Export_Share!$A$4:$A$9</c:f>
              <c:strCache>
                <c:ptCount val="5"/>
                <c:pt idx="0">
                  <c:v>U S A</c:v>
                </c:pt>
                <c:pt idx="1">
                  <c:v>U ARAB EMTS</c:v>
                </c:pt>
                <c:pt idx="2">
                  <c:v>NETHERLAND</c:v>
                </c:pt>
                <c:pt idx="3">
                  <c:v>U K</c:v>
                </c:pt>
                <c:pt idx="4">
                  <c:v>CHINA P RP</c:v>
                </c:pt>
              </c:strCache>
            </c:strRef>
          </c:cat>
          <c:val>
            <c:numRef>
              <c:f>Top_5_Export_Share!$B$4:$B$9</c:f>
              <c:numCache>
                <c:formatCode>0.00</c:formatCode>
                <c:ptCount val="5"/>
                <c:pt idx="0">
                  <c:v>86514.28</c:v>
                </c:pt>
                <c:pt idx="1">
                  <c:v>36638.019999999997</c:v>
                </c:pt>
                <c:pt idx="2">
                  <c:v>22763.41</c:v>
                </c:pt>
                <c:pt idx="3">
                  <c:v>14549.95</c:v>
                </c:pt>
                <c:pt idx="4">
                  <c:v>14252.21</c:v>
                </c:pt>
              </c:numCache>
            </c:numRef>
          </c:val>
          <c:extLst>
            <c:ext xmlns:c16="http://schemas.microsoft.com/office/drawing/2014/chart" uri="{C3380CC4-5D6E-409C-BE32-E72D297353CC}">
              <c16:uniqueId val="{00000000-BF17-4AFB-8725-EC2073F029E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[Export _dashboard.xlsx]Export_Comparision!PivotTable3</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Export_Comparision!$A$3</c:f>
              <c:strCache>
                <c:ptCount val="1"/>
                <c:pt idx="0">
                  <c:v>Sum of 2023-2024</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Export_Comparision!$A$4</c:f>
              <c:strCache>
                <c:ptCount val="1"/>
                <c:pt idx="0">
                  <c:v>Total</c:v>
                </c:pt>
              </c:strCache>
            </c:strRef>
          </c:cat>
          <c:val>
            <c:numRef>
              <c:f>Export_Comparision!$A$4</c:f>
              <c:numCache>
                <c:formatCode>0.00</c:formatCode>
                <c:ptCount val="1"/>
                <c:pt idx="0">
                  <c:v>437072.06000000011</c:v>
                </c:pt>
              </c:numCache>
            </c:numRef>
          </c:val>
          <c:extLst>
            <c:ext xmlns:c16="http://schemas.microsoft.com/office/drawing/2014/chart" uri="{C3380CC4-5D6E-409C-BE32-E72D297353CC}">
              <c16:uniqueId val="{00000000-2A2D-4CC6-A176-4A735F3A3086}"/>
            </c:ext>
          </c:extLst>
        </c:ser>
        <c:ser>
          <c:idx val="1"/>
          <c:order val="1"/>
          <c:tx>
            <c:strRef>
              <c:f>Export_Comparision!$B$3</c:f>
              <c:strCache>
                <c:ptCount val="1"/>
                <c:pt idx="0">
                  <c:v>Sum of 2024-2025</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Export_Comparision!$A$4</c:f>
              <c:strCache>
                <c:ptCount val="1"/>
                <c:pt idx="0">
                  <c:v>Total</c:v>
                </c:pt>
              </c:strCache>
            </c:strRef>
          </c:cat>
          <c:val>
            <c:numRef>
              <c:f>Export_Comparision!$B$4</c:f>
              <c:numCache>
                <c:formatCode>0.00</c:formatCode>
                <c:ptCount val="1"/>
                <c:pt idx="0">
                  <c:v>437704.54999999987</c:v>
                </c:pt>
              </c:numCache>
            </c:numRef>
          </c:val>
          <c:extLst>
            <c:ext xmlns:c16="http://schemas.microsoft.com/office/drawing/2014/chart" uri="{C3380CC4-5D6E-409C-BE32-E72D297353CC}">
              <c16:uniqueId val="{00000001-2A2D-4CC6-A176-4A735F3A3086}"/>
            </c:ext>
          </c:extLst>
        </c:ser>
        <c:dLbls>
          <c:dLblPos val="outEnd"/>
          <c:showLegendKey val="0"/>
          <c:showVal val="1"/>
          <c:showCatName val="0"/>
          <c:showSerName val="0"/>
          <c:showPercent val="0"/>
          <c:showBubbleSize val="0"/>
        </c:dLbls>
        <c:gapWidth val="219"/>
        <c:overlap val="-27"/>
        <c:axId val="1231653199"/>
        <c:axId val="1231645519"/>
      </c:barChart>
      <c:catAx>
        <c:axId val="1231653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645519"/>
        <c:crosses val="autoZero"/>
        <c:auto val="1"/>
        <c:lblAlgn val="ctr"/>
        <c:lblOffset val="100"/>
        <c:noMultiLvlLbl val="0"/>
      </c:catAx>
      <c:valAx>
        <c:axId val="123164551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653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8</xdr:col>
      <xdr:colOff>209549</xdr:colOff>
      <xdr:row>11</xdr:row>
      <xdr:rowOff>90483</xdr:rowOff>
    </xdr:from>
    <xdr:to>
      <xdr:col>21</xdr:col>
      <xdr:colOff>581025</xdr:colOff>
      <xdr:row>34</xdr:row>
      <xdr:rowOff>180974</xdr:rowOff>
    </xdr:to>
    <xdr:graphicFrame macro="">
      <xdr:nvGraphicFramePr>
        <xdr:cNvPr id="2" name="Top 10 Export Countries(2023-24 vs 2024-25)">
          <a:extLst>
            <a:ext uri="{FF2B5EF4-FFF2-40B4-BE49-F238E27FC236}">
              <a16:creationId xmlns:a16="http://schemas.microsoft.com/office/drawing/2014/main" id="{C9E2CBBE-C995-016D-577D-C1C415C898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xdr:row>
      <xdr:rowOff>9526</xdr:rowOff>
    </xdr:from>
    <xdr:to>
      <xdr:col>10</xdr:col>
      <xdr:colOff>600074</xdr:colOff>
      <xdr:row>26</xdr:row>
      <xdr:rowOff>180976</xdr:rowOff>
    </xdr:to>
    <xdr:graphicFrame macro="">
      <xdr:nvGraphicFramePr>
        <xdr:cNvPr id="2" name="Top 10 Export Countries(2023-24 vs 2024-25)">
          <a:extLst>
            <a:ext uri="{FF2B5EF4-FFF2-40B4-BE49-F238E27FC236}">
              <a16:creationId xmlns:a16="http://schemas.microsoft.com/office/drawing/2014/main" id="{0DCD9AD0-8441-41AC-9848-85A64ED0F1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590548</xdr:colOff>
      <xdr:row>3</xdr:row>
      <xdr:rowOff>9525</xdr:rowOff>
    </xdr:from>
    <xdr:to>
      <xdr:col>22</xdr:col>
      <xdr:colOff>571499</xdr:colOff>
      <xdr:row>27</xdr:row>
      <xdr:rowOff>19050</xdr:rowOff>
    </xdr:to>
    <xdr:graphicFrame macro="">
      <xdr:nvGraphicFramePr>
        <xdr:cNvPr id="3" name="Top 5 Countries Share in Exports(2024-25)">
          <a:extLst>
            <a:ext uri="{FF2B5EF4-FFF2-40B4-BE49-F238E27FC236}">
              <a16:creationId xmlns:a16="http://schemas.microsoft.com/office/drawing/2014/main" id="{F7C898C8-8B85-4518-862E-1495F6695B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27</xdr:row>
      <xdr:rowOff>9525</xdr:rowOff>
    </xdr:from>
    <xdr:to>
      <xdr:col>23</xdr:col>
      <xdr:colOff>0</xdr:colOff>
      <xdr:row>45</xdr:row>
      <xdr:rowOff>161925</xdr:rowOff>
    </xdr:to>
    <xdr:graphicFrame macro="">
      <xdr:nvGraphicFramePr>
        <xdr:cNvPr id="4" name="Export Comparison: 2023-24 vs 2024-25">
          <a:extLst>
            <a:ext uri="{FF2B5EF4-FFF2-40B4-BE49-F238E27FC236}">
              <a16:creationId xmlns:a16="http://schemas.microsoft.com/office/drawing/2014/main" id="{2E0009D5-4B04-457B-B029-AFC91BAD28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352425</xdr:colOff>
      <xdr:row>4</xdr:row>
      <xdr:rowOff>33337</xdr:rowOff>
    </xdr:from>
    <xdr:to>
      <xdr:col>10</xdr:col>
      <xdr:colOff>47625</xdr:colOff>
      <xdr:row>18</xdr:row>
      <xdr:rowOff>109537</xdr:rowOff>
    </xdr:to>
    <xdr:graphicFrame macro="">
      <xdr:nvGraphicFramePr>
        <xdr:cNvPr id="2" name="Top 5 Countries Share in Exports(2024-25)">
          <a:extLst>
            <a:ext uri="{FF2B5EF4-FFF2-40B4-BE49-F238E27FC236}">
              <a16:creationId xmlns:a16="http://schemas.microsoft.com/office/drawing/2014/main" id="{6AFCFE62-B0B0-1DF8-DA22-445F2F2426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133350</xdr:colOff>
      <xdr:row>4</xdr:row>
      <xdr:rowOff>33337</xdr:rowOff>
    </xdr:from>
    <xdr:to>
      <xdr:col>9</xdr:col>
      <xdr:colOff>438150</xdr:colOff>
      <xdr:row>18</xdr:row>
      <xdr:rowOff>109537</xdr:rowOff>
    </xdr:to>
    <xdr:graphicFrame macro="">
      <xdr:nvGraphicFramePr>
        <xdr:cNvPr id="2" name="Export Comparison: 2023-24 vs 2024-25">
          <a:extLst>
            <a:ext uri="{FF2B5EF4-FFF2-40B4-BE49-F238E27FC236}">
              <a16:creationId xmlns:a16="http://schemas.microsoft.com/office/drawing/2014/main" id="{8C5D947C-BF75-5397-3852-639C286C1E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95250</xdr:colOff>
      <xdr:row>5</xdr:row>
      <xdr:rowOff>0</xdr:rowOff>
    </xdr:from>
    <xdr:to>
      <xdr:col>6</xdr:col>
      <xdr:colOff>95250</xdr:colOff>
      <xdr:row>18</xdr:row>
      <xdr:rowOff>47625</xdr:rowOff>
    </xdr:to>
    <mc:AlternateContent xmlns:mc="http://schemas.openxmlformats.org/markup-compatibility/2006">
      <mc:Choice xmlns:a14="http://schemas.microsoft.com/office/drawing/2010/main" Requires="a14">
        <xdr:graphicFrame macro="">
          <xdr:nvGraphicFramePr>
            <xdr:cNvPr id="2" name="Country/Region">
              <a:extLst>
                <a:ext uri="{FF2B5EF4-FFF2-40B4-BE49-F238E27FC236}">
                  <a16:creationId xmlns:a16="http://schemas.microsoft.com/office/drawing/2014/main" id="{71820F0B-7121-E0EB-24C3-EE40A9C960AB}"/>
                </a:ext>
              </a:extLst>
            </xdr:cNvPr>
            <xdr:cNvGraphicFramePr/>
          </xdr:nvGraphicFramePr>
          <xdr:xfrm>
            <a:off x="0" y="0"/>
            <a:ext cx="0" cy="0"/>
          </xdr:xfrm>
          <a:graphic>
            <a:graphicData uri="http://schemas.microsoft.com/office/drawing/2010/slicer">
              <sle:slicer xmlns:sle="http://schemas.microsoft.com/office/drawing/2010/slicer" name="Country/Region"/>
            </a:graphicData>
          </a:graphic>
        </xdr:graphicFrame>
      </mc:Choice>
      <mc:Fallback>
        <xdr:sp macro="" textlink="">
          <xdr:nvSpPr>
            <xdr:cNvPr id="0" name=""/>
            <xdr:cNvSpPr>
              <a:spLocks noTextEdit="1"/>
            </xdr:cNvSpPr>
          </xdr:nvSpPr>
          <xdr:spPr>
            <a:xfrm>
              <a:off x="5000625" y="9525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17.474356250001" createdVersion="8" refreshedVersion="8" minRefreshableVersion="3" recordCount="240" xr:uid="{E94A8A6E-7403-44B9-917C-8319E943B9F4}">
  <cacheSource type="worksheet">
    <worksheetSource name="Table1"/>
  </cacheSource>
  <cacheFields count="7">
    <cacheField name="S.No." numFmtId="1">
      <sharedItems containsSemiMixedTypes="0" containsString="0" containsNumber="1" containsInteger="1" minValue="1" maxValue="240"/>
    </cacheField>
    <cacheField name="Country/Region" numFmtId="0">
      <sharedItems count="240">
        <s v="AFGHANISTAN"/>
        <s v="ALBANIA"/>
        <s v="ALGERIA"/>
        <s v="AMERI SAMOA"/>
        <s v="ANDORRA"/>
        <s v="ANGOLA"/>
        <s v="ANGUILLA"/>
        <s v="ANTARTICA"/>
        <s v="ANTIGUA"/>
        <s v="ARGENTINA"/>
        <s v="ARMENIA"/>
        <s v="ARUBA"/>
        <s v="AUSTRALIA"/>
        <s v="AUSTRIA"/>
        <s v="AZERBAIJAN"/>
        <s v="BAHAMAS"/>
        <s v="BAHARAIN IS"/>
        <s v="BANGLADESH PR"/>
        <s v="BARBADOS"/>
        <s v="BELARUS"/>
        <s v="BELGIUM"/>
        <s v="BELIZE"/>
        <s v="BENIN"/>
        <s v="BERMUDA"/>
        <s v="BHUTAN"/>
        <s v="BOLIVIA"/>
        <s v="BOSNIA-HRZGOVIN"/>
        <s v="BOTSWANA"/>
        <s v="BR VIRGN IS"/>
        <s v="BRAZIL"/>
        <s v="BRITISH INDIAN"/>
        <s v="BRUNEI"/>
        <s v="BULGARIA"/>
        <s v="BURKINA FASO"/>
        <s v="BURUNDI"/>
        <s v="C AFRI REP"/>
        <s v="CAMBODIA"/>
        <s v="CAMEROON"/>
        <s v="CANADA"/>
        <s v="CAPE VERDE IS"/>
        <s v="CAYMAN IS"/>
        <s v="CHAD"/>
        <s v="CHILE"/>
        <s v="CHINA P RP"/>
        <s v="CHRISTMAS IS."/>
        <s v="COCOS IS"/>
        <s v="COLOMBIA"/>
        <s v="COMOROS"/>
        <s v="CONGO D. REP."/>
        <s v="CONGO P REP"/>
        <s v="COOK IS"/>
        <s v="COSTA RICA"/>
        <s v="COTE D' IVOIRE"/>
        <s v="CROATIA"/>
        <s v="CUBA"/>
        <s v="CURACAO"/>
        <s v="CYPRUS"/>
        <s v="CZECH REPUBLIC"/>
        <s v="DENMARK"/>
        <s v="DJIBOUTI"/>
        <s v="DOMINIC REP"/>
        <s v="DOMINICA"/>
        <s v="ECUADOR"/>
        <s v="EGYPT A RP"/>
        <s v="EL SALVADOR"/>
        <s v="EQUTL GUINEA"/>
        <s v="ERITREA"/>
        <s v="ESTONIA"/>
        <s v="ETHIOPIA"/>
        <s v="FALKLAND IS"/>
        <s v="FAROE IS."/>
        <s v="FIJI IS"/>
        <s v="FINLAND"/>
        <s v="FR GUIANA"/>
        <s v="FR POLYNESIA"/>
        <s v="FRANCE"/>
        <s v="GABON"/>
        <s v="GAMBIA"/>
        <s v="GEORGIA"/>
        <s v="GERMANY"/>
        <s v="GHANA"/>
        <s v="GIBRALTAR"/>
        <s v="GREECE"/>
        <s v="GREENLAND"/>
        <s v="GRENADA"/>
        <s v="GUADELOUPE"/>
        <s v="GUAM"/>
        <s v="GUATEMALA"/>
        <s v="GUERNSEY"/>
        <s v="GUINEA"/>
        <s v="GUINEA BISSAU"/>
        <s v="GUYANA"/>
        <s v="HAITI"/>
        <s v="HONDURAS"/>
        <s v="HONG KONG"/>
        <s v="HUNGARY"/>
        <s v="ICELAND"/>
        <s v="INDONESIA"/>
        <s v="INSTALLATIONS IN INTERNATIONAL WATERS"/>
        <s v="IRAN"/>
        <s v="IRAQ"/>
        <s v="IRELAND"/>
        <s v="ISRAEL"/>
        <s v="ITALY"/>
        <s v="JAMAICA"/>
        <s v="JAPAN"/>
        <s v="JERSEY"/>
        <s v="JORDAN"/>
        <s v="KAZAKHSTAN"/>
        <s v="KENYA"/>
        <s v="KIRIBATI REP"/>
        <s v="KOREA DP RP"/>
        <s v="KOREA RP"/>
        <s v="KUWAIT"/>
        <s v="KYRGHYZSTAN"/>
        <s v="LAO PD RP"/>
        <s v="LATVIA"/>
        <s v="LEBANON"/>
        <s v="LESOTHO"/>
        <s v="LIBERIA"/>
        <s v="LIBYA"/>
        <s v="LIECHTENSTEIN"/>
        <s v="LITHUANIA"/>
        <s v="LUXEMBOURG"/>
        <s v="MACAO"/>
        <s v="MACEDONIA"/>
        <s v="MADAGASCAR"/>
        <s v="MALAWI"/>
        <s v="MALAYSIA"/>
        <s v="MALDIVES"/>
        <s v="MALI"/>
        <s v="MALTA"/>
        <s v="MARSHALL ISLAND"/>
        <s v="MARTINIQUE"/>
        <s v="MAURITANIA"/>
        <s v="MAURITIUS"/>
        <s v="MAYOTTE"/>
        <s v="MEXICO"/>
        <s v="MICRONESIA"/>
        <s v="MOLDOVA"/>
        <s v="MONACO"/>
        <s v="MONGOLIA"/>
        <s v="MONTENEGRO"/>
        <s v="MONTSERRAT"/>
        <s v="MOROCCO"/>
        <s v="MOZAMBIQUE"/>
        <s v="MYANMAR"/>
        <s v="N. MARIANA IS."/>
        <s v="NAMIBIA"/>
        <s v="NAURU RP"/>
        <s v="NEPAL"/>
        <s v="NETHERLAND"/>
        <s v="NETHERLANDANTIL"/>
        <s v="NEW CALEDONIA"/>
        <s v="NEW ZEALAND"/>
        <s v="NICARAGUA"/>
        <s v="NIGER"/>
        <s v="NIGERIA"/>
        <s v="NORFOLK IS"/>
        <s v="NORWAY"/>
        <s v="OMAN"/>
        <s v="PAKISTAN IR"/>
        <s v="PALAU"/>
        <s v="PANAMA REPUBLIC"/>
        <s v="PAPUA N GNA"/>
        <s v="PARAGUAY"/>
        <s v="PERU"/>
        <s v="PHILIPPINES"/>
        <s v="PITCAIRN IS."/>
        <s v="POLAND"/>
        <s v="PORTUGAL"/>
        <s v="PUERTO RICO"/>
        <s v="QATAR"/>
        <s v="REUNION"/>
        <s v="ROMANIA"/>
        <s v="RUSSIA"/>
        <s v="RWANDA"/>
        <s v="SAHARWI A.DM RP"/>
        <s v="SAMOA"/>
        <s v="SAN MARINO"/>
        <s v="SAO TOME"/>
        <s v="SAUDI ARAB"/>
        <s v="SENEGAL"/>
        <s v="SERBIA"/>
        <s v="SEYCHELLES"/>
        <s v="SIERRA LEONE"/>
        <s v="SINGAPORE"/>
        <s v="SINT MAARTEN (DUTCH PART)"/>
        <s v="SLOVAK REP"/>
        <s v="SLOVENIA"/>
        <s v="SOLOMON IS"/>
        <s v="SOMALIA"/>
        <s v="SOUTH AFRICA"/>
        <s v="SOUTH SUDAN"/>
        <s v="SPAIN"/>
        <s v="SRI LANKA DSR"/>
        <s v="ST HELENA"/>
        <s v="ST KITT N A"/>
        <s v="ST LUCIA"/>
        <s v="ST VINCENT"/>
        <s v="STATE OF PALEST"/>
        <s v="SUDAN"/>
        <s v="SURINAME"/>
        <s v="SVALLBARD AND J"/>
        <s v="SWAZILAND"/>
        <s v="SWEDEN"/>
        <s v="SWITZERLAND"/>
        <s v="SYRIA"/>
        <s v="TAIWAN"/>
        <s v="TAJIKISTAN"/>
        <s v="TANZANIA REP"/>
        <s v="THAILAND"/>
        <s v="TIMOR LESTE"/>
        <s v="TOGO"/>
        <s v="TOKELAU IS"/>
        <s v="TONGA"/>
        <s v="TRINIDAD"/>
        <s v="TUNISIA"/>
        <s v="TURKEY"/>
        <s v="TURKMENISTAN"/>
        <s v="TURKS C IS"/>
        <s v="TUVALU"/>
        <s v="U ARAB EMTS"/>
        <s v="U K"/>
        <s v="U S A"/>
        <s v="UGANDA"/>
        <s v="UKRAINE"/>
        <s v="UNION OF SERBIA &amp; MONTENEGRO"/>
        <s v="UNSPECIFIED"/>
        <s v="URUGUAY"/>
        <s v="US MINOR OUTLYING ISLANDS"/>
        <s v="UZBEKISTAN"/>
        <s v="VANUATU REP"/>
        <s v="VATICAN CITY"/>
        <s v="VENEZUELA"/>
        <s v="VIETNAM SOC REP"/>
        <s v="VIRGIN IS US"/>
        <s v="YEMEN REPUBLC"/>
        <s v="ZAMBIA"/>
        <s v="ZIMBABWE"/>
      </sharedItems>
    </cacheField>
    <cacheField name="2023-2024" numFmtId="2">
      <sharedItems containsSemiMixedTypes="0" containsString="0" containsNumber="1" minValue="0" maxValue="77515.03"/>
    </cacheField>
    <cacheField name="%Share" numFmtId="2">
      <sharedItems containsSemiMixedTypes="0" containsString="0" containsNumber="1" minValue="0" maxValue="17.735099999999999"/>
    </cacheField>
    <cacheField name="2024-2025" numFmtId="2">
      <sharedItems containsSemiMixedTypes="0" containsString="0" containsNumber="1" minValue="0" maxValue="86514.28"/>
    </cacheField>
    <cacheField name="%Share2" numFmtId="2">
      <sharedItems containsSemiMixedTypes="0" containsString="0" containsNumber="1" minValue="0" maxValue="19.765499999999999"/>
    </cacheField>
    <cacheField name="%Growth" numFmtId="2">
      <sharedItems containsSemiMixedTypes="0" containsString="0" containsNumber="1" minValue="-96.78" maxValue="82752.23"/>
    </cacheField>
  </cacheFields>
  <extLst>
    <ext xmlns:x14="http://schemas.microsoft.com/office/spreadsheetml/2009/9/main" uri="{725AE2AE-9491-48be-B2B4-4EB974FC3084}">
      <x14:pivotCacheDefinition pivotCacheId="11127733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
    <x v="0"/>
    <n v="355.45"/>
    <n v="8.1299999999999997E-2"/>
    <n v="318.91000000000003"/>
    <n v="7.2900000000000006E-2"/>
    <n v="-10.28"/>
  </r>
  <r>
    <n v="2"/>
    <x v="1"/>
    <n v="1154.05"/>
    <n v="0.26400000000000001"/>
    <n v="77.36"/>
    <n v="1.77E-2"/>
    <n v="-93.3"/>
  </r>
  <r>
    <n v="3"/>
    <x v="2"/>
    <n v="848.16"/>
    <n v="0.19409999999999999"/>
    <n v="947.04"/>
    <n v="0.21640000000000001"/>
    <n v="11.66"/>
  </r>
  <r>
    <n v="4"/>
    <x v="3"/>
    <n v="4.1500000000000004"/>
    <n v="8.9999999999999998E-4"/>
    <n v="2.46"/>
    <n v="5.9999999999999995E-4"/>
    <n v="-40.72"/>
  </r>
  <r>
    <n v="5"/>
    <x v="4"/>
    <n v="0.32"/>
    <n v="1E-4"/>
    <n v="0.26"/>
    <n v="1E-4"/>
    <n v="-16.98"/>
  </r>
  <r>
    <n v="6"/>
    <x v="5"/>
    <n v="697.72"/>
    <n v="0.15959999999999999"/>
    <n v="524.35"/>
    <n v="0.1198"/>
    <n v="-24.85"/>
  </r>
  <r>
    <n v="7"/>
    <x v="6"/>
    <n v="0.26"/>
    <n v="1E-4"/>
    <n v="0.21"/>
    <n v="0"/>
    <n v="-20.2"/>
  </r>
  <r>
    <n v="8"/>
    <x v="7"/>
    <n v="0.26"/>
    <n v="1E-4"/>
    <n v="0.26"/>
    <n v="1E-4"/>
    <n v="-0.45"/>
  </r>
  <r>
    <n v="9"/>
    <x v="8"/>
    <n v="14.97"/>
    <n v="3.3999999999999998E-3"/>
    <n v="4.76"/>
    <n v="1.1000000000000001E-3"/>
    <n v="-68.180000000000007"/>
  </r>
  <r>
    <n v="10"/>
    <x v="9"/>
    <n v="1085.75"/>
    <n v="0.24840000000000001"/>
    <n v="1018.54"/>
    <n v="0.23269999999999999"/>
    <n v="-6.19"/>
  </r>
  <r>
    <n v="11"/>
    <x v="10"/>
    <n v="94.46"/>
    <n v="2.1600000000000001E-2"/>
    <n v="264.51"/>
    <n v="6.0400000000000002E-2"/>
    <n v="180.01"/>
  </r>
  <r>
    <n v="12"/>
    <x v="11"/>
    <n v="14.79"/>
    <n v="3.3999999999999998E-3"/>
    <n v="11.84"/>
    <n v="2.7000000000000001E-3"/>
    <n v="-19.940000000000001"/>
  </r>
  <r>
    <n v="13"/>
    <x v="12"/>
    <n v="7940.75"/>
    <n v="1.8168"/>
    <n v="8581.3799999999992"/>
    <n v="1.9604999999999999"/>
    <n v="8.07"/>
  </r>
  <r>
    <n v="14"/>
    <x v="13"/>
    <n v="1136.4100000000001"/>
    <n v="0.26"/>
    <n v="1405.72"/>
    <n v="0.32119999999999999"/>
    <n v="23.7"/>
  </r>
  <r>
    <n v="15"/>
    <x v="14"/>
    <n v="89.67"/>
    <n v="2.0500000000000001E-2"/>
    <n v="93.97"/>
    <n v="2.1499999999999998E-2"/>
    <n v="4.79"/>
  </r>
  <r>
    <n v="16"/>
    <x v="15"/>
    <n v="106.34"/>
    <n v="2.4299999999999999E-2"/>
    <n v="11.47"/>
    <n v="2.5999999999999999E-3"/>
    <n v="-89.21"/>
  </r>
  <r>
    <n v="17"/>
    <x v="16"/>
    <n v="909.42"/>
    <n v="0.20810000000000001"/>
    <n v="797.47"/>
    <n v="0.1822"/>
    <n v="-12.31"/>
  </r>
  <r>
    <n v="18"/>
    <x v="17"/>
    <n v="11065.87"/>
    <n v="2.5318000000000001"/>
    <n v="11485.26"/>
    <n v="2.6240000000000001"/>
    <n v="3.79"/>
  </r>
  <r>
    <n v="19"/>
    <x v="18"/>
    <n v="18.829999999999998"/>
    <n v="4.3E-3"/>
    <n v="27.61"/>
    <n v="6.3E-3"/>
    <n v="46.57"/>
  </r>
  <r>
    <n v="20"/>
    <x v="19"/>
    <n v="43.83"/>
    <n v="0.01"/>
    <n v="69.33"/>
    <n v="1.5800000000000002E-2"/>
    <n v="58.17"/>
  </r>
  <r>
    <n v="21"/>
    <x v="20"/>
    <n v="7837.17"/>
    <n v="1.7930999999999999"/>
    <n v="6320.14"/>
    <n v="1.4439"/>
    <n v="-19.36"/>
  </r>
  <r>
    <n v="22"/>
    <x v="21"/>
    <n v="13.47"/>
    <n v="3.0999999999999999E-3"/>
    <n v="13.16"/>
    <n v="3.0000000000000001E-3"/>
    <n v="-2.2999999999999998"/>
  </r>
  <r>
    <n v="23"/>
    <x v="22"/>
    <n v="752.55"/>
    <n v="0.17219999999999999"/>
    <n v="1194.98"/>
    <n v="0.27300000000000002"/>
    <n v="58.79"/>
  </r>
  <r>
    <n v="24"/>
    <x v="23"/>
    <n v="6.08"/>
    <n v="1.4E-3"/>
    <n v="4.71"/>
    <n v="1.1000000000000001E-3"/>
    <n v="-22.59"/>
  </r>
  <r>
    <n v="25"/>
    <x v="24"/>
    <n v="963.73"/>
    <n v="0.2205"/>
    <n v="1263.83"/>
    <n v="0.28870000000000001"/>
    <n v="31.14"/>
  </r>
  <r>
    <n v="26"/>
    <x v="25"/>
    <n v="71.41"/>
    <n v="1.6299999999999999E-2"/>
    <n v="70.12"/>
    <n v="1.6E-2"/>
    <n v="-1.81"/>
  </r>
  <r>
    <n v="27"/>
    <x v="26"/>
    <n v="29.28"/>
    <n v="6.7000000000000002E-3"/>
    <n v="17.329999999999998"/>
    <n v="4.0000000000000001E-3"/>
    <n v="-40.79"/>
  </r>
  <r>
    <n v="28"/>
    <x v="27"/>
    <n v="109.26"/>
    <n v="2.5000000000000001E-2"/>
    <n v="173.44"/>
    <n v="3.9600000000000003E-2"/>
    <n v="58.74"/>
  </r>
  <r>
    <n v="29"/>
    <x v="28"/>
    <n v="0.64"/>
    <n v="1E-4"/>
    <n v="1.97"/>
    <n v="5.0000000000000001E-4"/>
    <n v="209.72"/>
  </r>
  <r>
    <n v="30"/>
    <x v="29"/>
    <n v="6021.84"/>
    <n v="1.3777999999999999"/>
    <n v="6771.01"/>
    <n v="1.5468999999999999"/>
    <n v="12.44"/>
  </r>
  <r>
    <n v="31"/>
    <x v="30"/>
    <n v="0"/>
    <n v="0"/>
    <n v="0.02"/>
    <n v="0"/>
    <n v="0"/>
  </r>
  <r>
    <n v="32"/>
    <x v="31"/>
    <n v="67.44"/>
    <n v="1.54E-2"/>
    <n v="58.67"/>
    <n v="1.34E-2"/>
    <n v="-13"/>
  </r>
  <r>
    <n v="33"/>
    <x v="32"/>
    <n v="223.64"/>
    <n v="5.1200000000000002E-2"/>
    <n v="230.44"/>
    <n v="5.2600000000000001E-2"/>
    <n v="3.04"/>
  </r>
  <r>
    <n v="34"/>
    <x v="33"/>
    <n v="120.82"/>
    <n v="2.76E-2"/>
    <n v="144.38999999999999"/>
    <n v="3.3000000000000002E-2"/>
    <n v="19.510000000000002"/>
  </r>
  <r>
    <n v="35"/>
    <x v="34"/>
    <n v="38.369999999999997"/>
    <n v="8.8000000000000005E-3"/>
    <n v="29.37"/>
    <n v="6.7000000000000002E-3"/>
    <n v="-23.45"/>
  </r>
  <r>
    <n v="36"/>
    <x v="35"/>
    <n v="65.25"/>
    <n v="1.49E-2"/>
    <n v="11.85"/>
    <n v="2.7000000000000001E-3"/>
    <n v="-81.84"/>
  </r>
  <r>
    <n v="37"/>
    <x v="36"/>
    <n v="185.39"/>
    <n v="4.24E-2"/>
    <n v="201.11"/>
    <n v="4.5900000000000003E-2"/>
    <n v="8.48"/>
  </r>
  <r>
    <n v="38"/>
    <x v="37"/>
    <n v="454.04"/>
    <n v="0.10390000000000001"/>
    <n v="596.15"/>
    <n v="0.13619999999999999"/>
    <n v="31.3"/>
  </r>
  <r>
    <n v="39"/>
    <x v="38"/>
    <n v="3845.29"/>
    <n v="0.87980000000000003"/>
    <n v="4222.2700000000004"/>
    <n v="0.96460000000000001"/>
    <n v="9.8000000000000007"/>
  </r>
  <r>
    <n v="40"/>
    <x v="39"/>
    <n v="3.16"/>
    <n v="6.9999999999999999E-4"/>
    <n v="3.6"/>
    <n v="8.0000000000000004E-4"/>
    <n v="14.15"/>
  </r>
  <r>
    <n v="41"/>
    <x v="40"/>
    <n v="7.12"/>
    <n v="1.6000000000000001E-3"/>
    <n v="136.93"/>
    <n v="3.1300000000000001E-2"/>
    <n v="1822.82"/>
  </r>
  <r>
    <n v="42"/>
    <x v="41"/>
    <n v="79.84"/>
    <n v="1.83E-2"/>
    <n v="81.27"/>
    <n v="1.8599999999999998E-2"/>
    <n v="1.79"/>
  </r>
  <r>
    <n v="43"/>
    <x v="42"/>
    <n v="1182.94"/>
    <n v="0.2707"/>
    <n v="1153.8"/>
    <n v="0.2636"/>
    <n v="-2.46"/>
  </r>
  <r>
    <n v="44"/>
    <x v="43"/>
    <n v="16658.91"/>
    <n v="3.8115000000000001"/>
    <n v="14252.21"/>
    <n v="3.2561"/>
    <n v="-14.45"/>
  </r>
  <r>
    <n v="45"/>
    <x v="44"/>
    <n v="0"/>
    <n v="0"/>
    <n v="0.02"/>
    <n v="0"/>
    <n v="565.24"/>
  </r>
  <r>
    <n v="46"/>
    <x v="45"/>
    <n v="0.01"/>
    <n v="0"/>
    <n v="0.06"/>
    <n v="0"/>
    <n v="367.32"/>
  </r>
  <r>
    <n v="47"/>
    <x v="46"/>
    <n v="1218.8599999999999"/>
    <n v="0.27889999999999998"/>
    <n v="1471.65"/>
    <n v="0.3362"/>
    <n v="20.74"/>
  </r>
  <r>
    <n v="48"/>
    <x v="47"/>
    <n v="27.95"/>
    <n v="6.4000000000000003E-3"/>
    <n v="36.93"/>
    <n v="8.3999999999999995E-3"/>
    <n v="32.119999999999997"/>
  </r>
  <r>
    <n v="49"/>
    <x v="48"/>
    <n v="580.69000000000005"/>
    <n v="0.13289999999999999"/>
    <n v="562.9"/>
    <n v="0.12859999999999999"/>
    <n v="-3.06"/>
  </r>
  <r>
    <n v="50"/>
    <x v="49"/>
    <n v="176.03"/>
    <n v="4.0300000000000002E-2"/>
    <n v="178.39"/>
    <n v="4.0800000000000003E-2"/>
    <n v="1.34"/>
  </r>
  <r>
    <n v="51"/>
    <x v="50"/>
    <n v="0.23"/>
    <n v="1E-4"/>
    <n v="0.13"/>
    <n v="0"/>
    <n v="-44.15"/>
  </r>
  <r>
    <n v="52"/>
    <x v="51"/>
    <n v="183.82"/>
    <n v="4.2099999999999999E-2"/>
    <n v="223.87"/>
    <n v="5.11E-2"/>
    <n v="21.79"/>
  </r>
  <r>
    <n v="53"/>
    <x v="52"/>
    <n v="685.53"/>
    <n v="0.15679999999999999"/>
    <n v="989.52"/>
    <n v="0.2261"/>
    <n v="44.34"/>
  </r>
  <r>
    <n v="54"/>
    <x v="53"/>
    <n v="233.3"/>
    <n v="5.3400000000000003E-2"/>
    <n v="335.76"/>
    <n v="7.6700000000000004E-2"/>
    <n v="43.92"/>
  </r>
  <r>
    <n v="55"/>
    <x v="54"/>
    <n v="40.46"/>
    <n v="9.2999999999999992E-3"/>
    <n v="15.27"/>
    <n v="3.5000000000000001E-3"/>
    <n v="-62.26"/>
  </r>
  <r>
    <n v="56"/>
    <x v="55"/>
    <n v="0"/>
    <n v="0"/>
    <n v="0.28999999999999998"/>
    <n v="1E-4"/>
    <n v="0"/>
  </r>
  <r>
    <n v="57"/>
    <x v="56"/>
    <n v="94.92"/>
    <n v="2.1700000000000001E-2"/>
    <n v="89.92"/>
    <n v="2.0500000000000001E-2"/>
    <n v="-5.26"/>
  </r>
  <r>
    <n v="58"/>
    <x v="57"/>
    <n v="1389.79"/>
    <n v="0.318"/>
    <n v="2062.69"/>
    <n v="0.4713"/>
    <n v="48.42"/>
  </r>
  <r>
    <n v="59"/>
    <x v="58"/>
    <n v="856.24"/>
    <n v="0.19589999999999999"/>
    <n v="871.41"/>
    <n v="0.1991"/>
    <n v="1.77"/>
  </r>
  <r>
    <n v="60"/>
    <x v="59"/>
    <n v="1143.58"/>
    <n v="0.2616"/>
    <n v="677.24"/>
    <n v="0.1547"/>
    <n v="-40.78"/>
  </r>
  <r>
    <n v="61"/>
    <x v="60"/>
    <n v="347"/>
    <n v="7.9399999999999998E-2"/>
    <n v="381.67"/>
    <n v="8.72E-2"/>
    <n v="9.99"/>
  </r>
  <r>
    <n v="62"/>
    <x v="61"/>
    <n v="2.5299999999999998"/>
    <n v="5.9999999999999995E-4"/>
    <n v="6.59"/>
    <n v="1.5E-3"/>
    <n v="160.51"/>
  </r>
  <r>
    <n v="63"/>
    <x v="62"/>
    <n v="459.21"/>
    <n v="0.1051"/>
    <n v="316.69"/>
    <n v="7.2400000000000006E-2"/>
    <n v="-31.03"/>
  </r>
  <r>
    <n v="64"/>
    <x v="63"/>
    <n v="3520.62"/>
    <n v="0.80549999999999999"/>
    <n v="3411.36"/>
    <n v="0.77939999999999998"/>
    <n v="-3.1"/>
  </r>
  <r>
    <n v="65"/>
    <x v="64"/>
    <n v="128.91"/>
    <n v="2.9499999999999998E-2"/>
    <n v="149.09"/>
    <n v="3.4099999999999998E-2"/>
    <n v="15.66"/>
  </r>
  <r>
    <n v="66"/>
    <x v="65"/>
    <n v="26.79"/>
    <n v="6.1000000000000004E-3"/>
    <n v="19.18"/>
    <n v="4.4000000000000003E-3"/>
    <n v="-28.4"/>
  </r>
  <r>
    <n v="67"/>
    <x v="66"/>
    <n v="10.050000000000001"/>
    <n v="2.3E-3"/>
    <n v="19"/>
    <n v="4.3E-3"/>
    <n v="88.99"/>
  </r>
  <r>
    <n v="68"/>
    <x v="67"/>
    <n v="77.290000000000006"/>
    <n v="1.77E-2"/>
    <n v="69.66"/>
    <n v="1.5900000000000001E-2"/>
    <n v="-9.8800000000000008"/>
  </r>
  <r>
    <n v="69"/>
    <x v="68"/>
    <n v="489.59"/>
    <n v="0.112"/>
    <n v="476.81"/>
    <n v="0.1089"/>
    <n v="-2.61"/>
  </r>
  <r>
    <n v="70"/>
    <x v="69"/>
    <n v="0"/>
    <n v="0"/>
    <n v="0.01"/>
    <n v="0"/>
    <n v="0"/>
  </r>
  <r>
    <n v="71"/>
    <x v="70"/>
    <n v="5.94"/>
    <n v="1.4E-3"/>
    <n v="12.67"/>
    <n v="2.8999999999999998E-3"/>
    <n v="113.27"/>
  </r>
  <r>
    <n v="72"/>
    <x v="71"/>
    <n v="76.28"/>
    <n v="1.7500000000000002E-2"/>
    <n v="84.67"/>
    <n v="1.9300000000000001E-2"/>
    <n v="11"/>
  </r>
  <r>
    <n v="73"/>
    <x v="72"/>
    <n v="582.52"/>
    <n v="0.1333"/>
    <n v="471.82"/>
    <n v="0.10780000000000001"/>
    <n v="-19"/>
  </r>
  <r>
    <n v="74"/>
    <x v="73"/>
    <n v="1.47"/>
    <n v="2.9999999999999997E-4"/>
    <n v="1.51"/>
    <n v="2.9999999999999997E-4"/>
    <n v="2.95"/>
  </r>
  <r>
    <n v="75"/>
    <x v="74"/>
    <n v="12"/>
    <n v="2.7000000000000001E-3"/>
    <n v="12.52"/>
    <n v="2.8999999999999998E-3"/>
    <n v="4.3600000000000003"/>
  </r>
  <r>
    <n v="76"/>
    <x v="75"/>
    <n v="7141.09"/>
    <n v="1.6337999999999999"/>
    <n v="7960.06"/>
    <n v="1.8186"/>
    <n v="11.47"/>
  </r>
  <r>
    <n v="77"/>
    <x v="76"/>
    <n v="72.67"/>
    <n v="1.66E-2"/>
    <n v="94.12"/>
    <n v="2.1499999999999998E-2"/>
    <n v="29.51"/>
  </r>
  <r>
    <n v="78"/>
    <x v="77"/>
    <n v="175.95"/>
    <n v="4.0300000000000002E-2"/>
    <n v="116.16"/>
    <n v="2.6499999999999999E-2"/>
    <n v="-33.979999999999997"/>
  </r>
  <r>
    <n v="79"/>
    <x v="78"/>
    <n v="197.49"/>
    <n v="4.5199999999999997E-2"/>
    <n v="288.98"/>
    <n v="6.6000000000000003E-2"/>
    <n v="46.33"/>
  </r>
  <r>
    <n v="80"/>
    <x v="79"/>
    <n v="9839.6299999999992"/>
    <n v="2.2513000000000001"/>
    <n v="10628.61"/>
    <n v="2.4283000000000001"/>
    <n v="8.02"/>
  </r>
  <r>
    <n v="81"/>
    <x v="80"/>
    <n v="1098.8800000000001"/>
    <n v="0.25140000000000001"/>
    <n v="1346.75"/>
    <n v="0.30769999999999997"/>
    <n v="22.56"/>
  </r>
  <r>
    <n v="82"/>
    <x v="81"/>
    <n v="829.43"/>
    <n v="0.1898"/>
    <n v="26.67"/>
    <n v="6.1000000000000004E-3"/>
    <n v="-96.78"/>
  </r>
  <r>
    <n v="83"/>
    <x v="82"/>
    <n v="1055.17"/>
    <n v="0.2414"/>
    <n v="1056.17"/>
    <n v="0.24129999999999999"/>
    <n v="0.09"/>
  </r>
  <r>
    <n v="84"/>
    <x v="83"/>
    <n v="0.23"/>
    <n v="1E-4"/>
    <n v="0.03"/>
    <n v="0"/>
    <n v="-86.19"/>
  </r>
  <r>
    <n v="85"/>
    <x v="84"/>
    <n v="4.4000000000000004"/>
    <n v="1E-3"/>
    <n v="4.45"/>
    <n v="1E-3"/>
    <n v="1.21"/>
  </r>
  <r>
    <n v="86"/>
    <x v="85"/>
    <n v="4.6100000000000003"/>
    <n v="1.1000000000000001E-3"/>
    <n v="5.29"/>
    <n v="1.1999999999999999E-3"/>
    <n v="14.65"/>
  </r>
  <r>
    <n v="87"/>
    <x v="86"/>
    <n v="0.85"/>
    <n v="2.0000000000000001E-4"/>
    <n v="1.21"/>
    <n v="2.9999999999999997E-4"/>
    <n v="43.13"/>
  </r>
  <r>
    <n v="88"/>
    <x v="87"/>
    <n v="559.04999999999995"/>
    <n v="0.12790000000000001"/>
    <n v="633.92999999999995"/>
    <n v="0.14480000000000001"/>
    <n v="13.39"/>
  </r>
  <r>
    <n v="89"/>
    <x v="88"/>
    <n v="0"/>
    <n v="0"/>
    <n v="0"/>
    <n v="0"/>
    <n v="0"/>
  </r>
  <r>
    <n v="90"/>
    <x v="89"/>
    <n v="696.48"/>
    <n v="0.15939999999999999"/>
    <n v="901.08"/>
    <n v="0.2059"/>
    <n v="29.38"/>
  </r>
  <r>
    <n v="91"/>
    <x v="90"/>
    <n v="6.98"/>
    <n v="1.6000000000000001E-3"/>
    <n v="22.42"/>
    <n v="5.1000000000000004E-3"/>
    <n v="220.98"/>
  </r>
  <r>
    <n v="92"/>
    <x v="91"/>
    <n v="99.36"/>
    <n v="2.2700000000000001E-2"/>
    <n v="92.59"/>
    <n v="2.12E-2"/>
    <n v="-6.82"/>
  </r>
  <r>
    <n v="93"/>
    <x v="92"/>
    <n v="105.54"/>
    <n v="2.41E-2"/>
    <n v="89.03"/>
    <n v="2.0299999999999999E-2"/>
    <n v="-15.64"/>
  </r>
  <r>
    <n v="94"/>
    <x v="93"/>
    <n v="265.93"/>
    <n v="6.08E-2"/>
    <n v="274.47000000000003"/>
    <n v="6.2700000000000006E-2"/>
    <n v="3.22"/>
  </r>
  <r>
    <n v="95"/>
    <x v="94"/>
    <n v="8243.93"/>
    <n v="1.8862000000000001"/>
    <n v="6066.71"/>
    <n v="1.3859999999999999"/>
    <n v="-26.41"/>
  </r>
  <r>
    <n v="96"/>
    <x v="95"/>
    <n v="561.46"/>
    <n v="0.1285"/>
    <n v="533.65"/>
    <n v="0.12189999999999999"/>
    <n v="-4.95"/>
  </r>
  <r>
    <n v="97"/>
    <x v="96"/>
    <n v="12.16"/>
    <n v="2.8E-3"/>
    <n v="66.010000000000005"/>
    <n v="1.5100000000000001E-2"/>
    <n v="442.71"/>
  </r>
  <r>
    <n v="98"/>
    <x v="97"/>
    <n v="5988.88"/>
    <n v="1.3702000000000001"/>
    <n v="5380.18"/>
    <n v="1.2292000000000001"/>
    <n v="-10.16"/>
  </r>
  <r>
    <n v="99"/>
    <x v="98"/>
    <n v="0"/>
    <n v="0"/>
    <n v="0"/>
    <n v="0"/>
    <n v="0"/>
  </r>
  <r>
    <n v="100"/>
    <x v="99"/>
    <n v="1222.26"/>
    <n v="0.27960000000000002"/>
    <n v="1241.1500000000001"/>
    <n v="0.28360000000000002"/>
    <n v="1.55"/>
  </r>
  <r>
    <n v="101"/>
    <x v="100"/>
    <n v="3354.73"/>
    <n v="0.76749999999999996"/>
    <n v="3272.52"/>
    <n v="0.74770000000000003"/>
    <n v="-2.4500000000000002"/>
  </r>
  <r>
    <n v="102"/>
    <x v="101"/>
    <n v="702.73"/>
    <n v="0.1608"/>
    <n v="864.67"/>
    <n v="0.19750000000000001"/>
    <n v="23.04"/>
  </r>
  <r>
    <n v="103"/>
    <x v="102"/>
    <n v="4525.92"/>
    <n v="1.0355000000000001"/>
    <n v="2145.0100000000002"/>
    <n v="0.49009999999999998"/>
    <n v="-52.61"/>
  </r>
  <r>
    <n v="104"/>
    <x v="103"/>
    <n v="8765.7800000000007"/>
    <n v="2.0055999999999998"/>
    <n v="7727.33"/>
    <n v="1.7654000000000001"/>
    <n v="-11.85"/>
  </r>
  <r>
    <n v="105"/>
    <x v="104"/>
    <n v="109.15"/>
    <n v="2.5000000000000001E-2"/>
    <n v="93.01"/>
    <n v="2.12E-2"/>
    <n v="-14.79"/>
  </r>
  <r>
    <n v="106"/>
    <x v="105"/>
    <n v="5156.28"/>
    <n v="1.1797"/>
    <n v="6249.32"/>
    <n v="1.4277"/>
    <n v="21.2"/>
  </r>
  <r>
    <n v="107"/>
    <x v="106"/>
    <n v="0"/>
    <n v="0"/>
    <n v="0"/>
    <n v="0"/>
    <n v="6532.52"/>
  </r>
  <r>
    <n v="108"/>
    <x v="107"/>
    <n v="1465.26"/>
    <n v="0.3352"/>
    <n v="755.14"/>
    <n v="0.17249999999999999"/>
    <n v="-48.46"/>
  </r>
  <r>
    <n v="109"/>
    <x v="108"/>
    <n v="236.56"/>
    <n v="5.4100000000000002E-2"/>
    <n v="262.98"/>
    <n v="6.0100000000000001E-2"/>
    <n v="11.17"/>
  </r>
  <r>
    <n v="110"/>
    <x v="109"/>
    <n v="3174.83"/>
    <n v="0.72640000000000005"/>
    <n v="3134.05"/>
    <n v="0.71599999999999997"/>
    <n v="-1.28"/>
  </r>
  <r>
    <n v="111"/>
    <x v="110"/>
    <n v="1.04"/>
    <n v="2.0000000000000001E-4"/>
    <n v="3.89"/>
    <n v="8.9999999999999998E-4"/>
    <n v="275.73"/>
  </r>
  <r>
    <n v="112"/>
    <x v="111"/>
    <n v="2.04"/>
    <n v="5.0000000000000001E-4"/>
    <n v="2.61"/>
    <n v="5.9999999999999995E-4"/>
    <n v="27.82"/>
  </r>
  <r>
    <n v="113"/>
    <x v="112"/>
    <n v="6416.67"/>
    <n v="1.4681"/>
    <n v="5819.64"/>
    <n v="1.3295999999999999"/>
    <n v="-9.3000000000000007"/>
  </r>
  <r>
    <n v="114"/>
    <x v="113"/>
    <n v="2103.2199999999998"/>
    <n v="0.48120000000000002"/>
    <n v="1934.81"/>
    <n v="0.442"/>
    <n v="-8.01"/>
  </r>
  <r>
    <n v="115"/>
    <x v="114"/>
    <n v="45.72"/>
    <n v="1.0500000000000001E-2"/>
    <n v="46.26"/>
    <n v="1.06E-2"/>
    <n v="1.19"/>
  </r>
  <r>
    <n v="116"/>
    <x v="115"/>
    <n v="12.88"/>
    <n v="2.8999999999999998E-3"/>
    <n v="12.52"/>
    <n v="2.8999999999999998E-3"/>
    <n v="-2.83"/>
  </r>
  <r>
    <n v="117"/>
    <x v="116"/>
    <n v="220.49"/>
    <n v="5.04E-2"/>
    <n v="235.94"/>
    <n v="5.3900000000000003E-2"/>
    <n v="7.01"/>
  </r>
  <r>
    <n v="118"/>
    <x v="117"/>
    <n v="344.91"/>
    <n v="7.8899999999999998E-2"/>
    <n v="337.05"/>
    <n v="7.6999999999999999E-2"/>
    <n v="-2.2799999999999998"/>
  </r>
  <r>
    <n v="119"/>
    <x v="118"/>
    <n v="5.55"/>
    <n v="1.2999999999999999E-3"/>
    <n v="10.3"/>
    <n v="2.3999999999999998E-3"/>
    <n v="85.61"/>
  </r>
  <r>
    <n v="120"/>
    <x v="119"/>
    <n v="243.29"/>
    <n v="5.57E-2"/>
    <n v="376.33"/>
    <n v="8.5999999999999993E-2"/>
    <n v="54.68"/>
  </r>
  <r>
    <n v="121"/>
    <x v="120"/>
    <n v="565.12"/>
    <n v="0.1293"/>
    <n v="650.37"/>
    <n v="0.14860000000000001"/>
    <n v="15.08"/>
  </r>
  <r>
    <n v="122"/>
    <x v="121"/>
    <n v="0.88"/>
    <n v="2.0000000000000001E-4"/>
    <n v="0.41"/>
    <n v="1E-4"/>
    <n v="-53.98"/>
  </r>
  <r>
    <n v="123"/>
    <x v="122"/>
    <n v="314.42"/>
    <n v="7.1900000000000006E-2"/>
    <n v="258.06"/>
    <n v="5.8999999999999997E-2"/>
    <n v="-17.93"/>
  </r>
  <r>
    <n v="124"/>
    <x v="123"/>
    <n v="39.65"/>
    <n v="9.1000000000000004E-3"/>
    <n v="49.9"/>
    <n v="1.14E-2"/>
    <n v="25.85"/>
  </r>
  <r>
    <n v="125"/>
    <x v="124"/>
    <n v="0.96"/>
    <n v="2.0000000000000001E-4"/>
    <n v="1.42"/>
    <n v="2.9999999999999997E-4"/>
    <n v="47.92"/>
  </r>
  <r>
    <n v="126"/>
    <x v="125"/>
    <n v="36.64"/>
    <n v="8.3999999999999995E-3"/>
    <n v="33.729999999999997"/>
    <n v="7.7000000000000002E-3"/>
    <n v="-7.94"/>
  </r>
  <r>
    <n v="127"/>
    <x v="126"/>
    <n v="231.91"/>
    <n v="5.3100000000000001E-2"/>
    <n v="268.8"/>
    <n v="6.1400000000000003E-2"/>
    <n v="15.91"/>
  </r>
  <r>
    <n v="128"/>
    <x v="127"/>
    <n v="87.18"/>
    <n v="1.9900000000000001E-2"/>
    <n v="94.56"/>
    <n v="2.1600000000000001E-2"/>
    <n v="8.4700000000000006"/>
  </r>
  <r>
    <n v="129"/>
    <x v="128"/>
    <n v="7262.15"/>
    <n v="1.6615"/>
    <n v="7316.85"/>
    <n v="1.6716"/>
    <n v="0.75"/>
  </r>
  <r>
    <n v="130"/>
    <x v="129"/>
    <n v="891.89"/>
    <n v="0.2041"/>
    <n v="560.88"/>
    <n v="0.12809999999999999"/>
    <n v="-37.11"/>
  </r>
  <r>
    <n v="131"/>
    <x v="130"/>
    <n v="119.62"/>
    <n v="2.7400000000000001E-2"/>
    <n v="128.08000000000001"/>
    <n v="2.93E-2"/>
    <n v="7.07"/>
  </r>
  <r>
    <n v="132"/>
    <x v="131"/>
    <n v="496.11"/>
    <n v="0.1135"/>
    <n v="351.09"/>
    <n v="8.0199999999999994E-2"/>
    <n v="-29.23"/>
  </r>
  <r>
    <n v="133"/>
    <x v="132"/>
    <n v="2.19"/>
    <n v="5.0000000000000001E-4"/>
    <n v="2.84"/>
    <n v="5.9999999999999995E-4"/>
    <n v="29.95"/>
  </r>
  <r>
    <n v="134"/>
    <x v="133"/>
    <n v="4.59"/>
    <n v="1E-3"/>
    <n v="4.83"/>
    <n v="1.1000000000000001E-3"/>
    <n v="5.3"/>
  </r>
  <r>
    <n v="135"/>
    <x v="134"/>
    <n v="96.38"/>
    <n v="2.2100000000000002E-2"/>
    <n v="114.83"/>
    <n v="2.6200000000000001E-2"/>
    <n v="19.149999999999999"/>
  </r>
  <r>
    <n v="136"/>
    <x v="135"/>
    <n v="778.03"/>
    <n v="0.17799999999999999"/>
    <n v="676.49"/>
    <n v="0.15459999999999999"/>
    <n v="-13.05"/>
  </r>
  <r>
    <n v="137"/>
    <x v="136"/>
    <n v="7.57"/>
    <n v="1.6999999999999999E-3"/>
    <n v="7.56"/>
    <n v="1.6999999999999999E-3"/>
    <n v="-0.15"/>
  </r>
  <r>
    <n v="138"/>
    <x v="137"/>
    <n v="5324.23"/>
    <n v="1.2181999999999999"/>
    <n v="5749.01"/>
    <n v="1.3133999999999999"/>
    <n v="7.98"/>
  </r>
  <r>
    <n v="139"/>
    <x v="138"/>
    <n v="0.62"/>
    <n v="1E-4"/>
    <n v="0.81"/>
    <n v="2.0000000000000001E-4"/>
    <n v="30.47"/>
  </r>
  <r>
    <n v="140"/>
    <x v="139"/>
    <n v="12.51"/>
    <n v="2.8999999999999998E-3"/>
    <n v="10.39"/>
    <n v="2.3999999999999998E-3"/>
    <n v="-16.93"/>
  </r>
  <r>
    <n v="141"/>
    <x v="140"/>
    <n v="2.36"/>
    <n v="5.0000000000000001E-4"/>
    <n v="6.97"/>
    <n v="1.6000000000000001E-3"/>
    <n v="195.18"/>
  </r>
  <r>
    <n v="142"/>
    <x v="141"/>
    <n v="33.15"/>
    <n v="7.6E-3"/>
    <n v="26.46"/>
    <n v="6.0000000000000001E-3"/>
    <n v="-20.190000000000001"/>
  </r>
  <r>
    <n v="143"/>
    <x v="142"/>
    <n v="34.909999999999997"/>
    <n v="8.0000000000000002E-3"/>
    <n v="124.67"/>
    <n v="2.8500000000000001E-2"/>
    <n v="257.08999999999997"/>
  </r>
  <r>
    <n v="144"/>
    <x v="143"/>
    <n v="0.12"/>
    <n v="0"/>
    <n v="0.12"/>
    <n v="0"/>
    <n v="1.26"/>
  </r>
  <r>
    <n v="145"/>
    <x v="144"/>
    <n v="1032.58"/>
    <n v="0.23619999999999999"/>
    <n v="967.05"/>
    <n v="0.22090000000000001"/>
    <n v="-6.35"/>
  </r>
  <r>
    <n v="146"/>
    <x v="145"/>
    <n v="1996"/>
    <n v="0.45669999999999999"/>
    <n v="1323.39"/>
    <n v="0.30230000000000001"/>
    <n v="-33.700000000000003"/>
  </r>
  <r>
    <n v="147"/>
    <x v="146"/>
    <n v="670.37"/>
    <n v="0.15340000000000001"/>
    <n v="614.29999999999995"/>
    <n v="0.14030000000000001"/>
    <n v="-8.36"/>
  </r>
  <r>
    <n v="148"/>
    <x v="147"/>
    <n v="0.31"/>
    <n v="1E-4"/>
    <n v="0.1"/>
    <n v="0"/>
    <n v="-66.44"/>
  </r>
  <r>
    <n v="149"/>
    <x v="148"/>
    <n v="453.48"/>
    <n v="0.1038"/>
    <n v="327.20999999999998"/>
    <n v="7.4800000000000005E-2"/>
    <n v="-27.85"/>
  </r>
  <r>
    <n v="150"/>
    <x v="149"/>
    <n v="0.09"/>
    <n v="0"/>
    <n v="0.04"/>
    <n v="0"/>
    <n v="-54.53"/>
  </r>
  <r>
    <n v="151"/>
    <x v="150"/>
    <n v="7040.98"/>
    <n v="1.6109"/>
    <n v="7385.98"/>
    <n v="1.6874"/>
    <n v="4.9000000000000004"/>
  </r>
  <r>
    <n v="152"/>
    <x v="151"/>
    <n v="22366.86"/>
    <n v="5.1173999999999999"/>
    <n v="22763.41"/>
    <n v="5.2005999999999997"/>
    <n v="1.77"/>
  </r>
  <r>
    <n v="153"/>
    <x v="152"/>
    <n v="21.43"/>
    <n v="4.8999999999999998E-3"/>
    <n v="21.68"/>
    <n v="5.0000000000000001E-3"/>
    <n v="1.18"/>
  </r>
  <r>
    <n v="154"/>
    <x v="153"/>
    <n v="15.4"/>
    <n v="3.5000000000000001E-3"/>
    <n v="5.82"/>
    <n v="1.2999999999999999E-3"/>
    <n v="-62.21"/>
  </r>
  <r>
    <n v="155"/>
    <x v="154"/>
    <n v="538.33000000000004"/>
    <n v="0.1232"/>
    <n v="711.1"/>
    <n v="0.16250000000000001"/>
    <n v="32.090000000000003"/>
  </r>
  <r>
    <n v="156"/>
    <x v="155"/>
    <n v="132.31"/>
    <n v="3.0300000000000001E-2"/>
    <n v="159.33000000000001"/>
    <n v="3.6400000000000002E-2"/>
    <n v="20.420000000000002"/>
  </r>
  <r>
    <n v="157"/>
    <x v="156"/>
    <n v="47.22"/>
    <n v="1.0800000000000001E-2"/>
    <n v="72.680000000000007"/>
    <n v="1.66E-2"/>
    <n v="53.92"/>
  </r>
  <r>
    <n v="158"/>
    <x v="157"/>
    <n v="3626.4"/>
    <n v="0.82969999999999999"/>
    <n v="2945.5"/>
    <n v="0.67290000000000005"/>
    <n v="-18.78"/>
  </r>
  <r>
    <n v="159"/>
    <x v="158"/>
    <n v="0.02"/>
    <n v="0"/>
    <n v="0.8"/>
    <n v="2.0000000000000001E-4"/>
    <n v="4360.03"/>
  </r>
  <r>
    <n v="160"/>
    <x v="159"/>
    <n v="403.08"/>
    <n v="9.2200000000000004E-2"/>
    <n v="425.01"/>
    <n v="9.7100000000000006E-2"/>
    <n v="5.44"/>
  </r>
  <r>
    <n v="161"/>
    <x v="160"/>
    <n v="4426.47"/>
    <n v="1.0127999999999999"/>
    <n v="4065.35"/>
    <n v="0.92879999999999996"/>
    <n v="-8.16"/>
  </r>
  <r>
    <n v="162"/>
    <x v="161"/>
    <n v="1188.8499999999999"/>
    <n v="0.27200000000000002"/>
    <n v="557.78"/>
    <n v="0.12740000000000001"/>
    <n v="-53.08"/>
  </r>
  <r>
    <n v="163"/>
    <x v="162"/>
    <n v="0.15"/>
    <n v="0"/>
    <n v="0.24"/>
    <n v="1E-4"/>
    <n v="67.3"/>
  </r>
  <r>
    <n v="164"/>
    <x v="163"/>
    <n v="296.52999999999997"/>
    <n v="6.7799999999999999E-2"/>
    <n v="287.43"/>
    <n v="6.5699999999999995E-2"/>
    <n v="-3.07"/>
  </r>
  <r>
    <n v="165"/>
    <x v="164"/>
    <n v="70.06"/>
    <n v="1.6E-2"/>
    <n v="70.38"/>
    <n v="1.61E-2"/>
    <n v="0.46"/>
  </r>
  <r>
    <n v="166"/>
    <x v="165"/>
    <n v="212.25"/>
    <n v="4.8599999999999997E-2"/>
    <n v="180.47"/>
    <n v="4.1200000000000001E-2"/>
    <n v="-14.97"/>
  </r>
  <r>
    <n v="167"/>
    <x v="166"/>
    <n v="920.09"/>
    <n v="0.21049999999999999"/>
    <n v="1002.26"/>
    <n v="0.22900000000000001"/>
    <n v="8.93"/>
  </r>
  <r>
    <n v="168"/>
    <x v="167"/>
    <n v="2097.17"/>
    <n v="0.4798"/>
    <n v="2162.4299999999998"/>
    <n v="0.49399999999999999"/>
    <n v="3.11"/>
  </r>
  <r>
    <n v="169"/>
    <x v="168"/>
    <n v="0"/>
    <n v="0"/>
    <n v="0"/>
    <n v="0"/>
    <n v="-68.09"/>
  </r>
  <r>
    <n v="170"/>
    <x v="169"/>
    <n v="2436.27"/>
    <n v="0.55740000000000001"/>
    <n v="2618.61"/>
    <n v="0.59830000000000005"/>
    <n v="7.48"/>
  </r>
  <r>
    <n v="171"/>
    <x v="170"/>
    <n v="1183.8"/>
    <n v="0.27079999999999999"/>
    <n v="920.25"/>
    <n v="0.2102"/>
    <n v="-22.26"/>
  </r>
  <r>
    <n v="172"/>
    <x v="171"/>
    <n v="140.53"/>
    <n v="3.2199999999999999E-2"/>
    <n v="135.05000000000001"/>
    <n v="3.09E-2"/>
    <n v="-3.9"/>
  </r>
  <r>
    <n v="173"/>
    <x v="172"/>
    <n v="1700.01"/>
    <n v="0.38900000000000001"/>
    <n v="1682.48"/>
    <n v="0.38440000000000002"/>
    <n v="-1.03"/>
  </r>
  <r>
    <n v="174"/>
    <x v="173"/>
    <n v="45.33"/>
    <n v="1.04E-2"/>
    <n v="49.04"/>
    <n v="1.12E-2"/>
    <n v="8.19"/>
  </r>
  <r>
    <n v="175"/>
    <x v="174"/>
    <n v="1778.05"/>
    <n v="0.40679999999999999"/>
    <n v="1036.01"/>
    <n v="0.23669999999999999"/>
    <n v="-41.73"/>
  </r>
  <r>
    <n v="176"/>
    <x v="175"/>
    <n v="4261.3100000000004"/>
    <n v="0.97499999999999998"/>
    <n v="4881.3"/>
    <n v="1.1152"/>
    <n v="14.55"/>
  </r>
  <r>
    <n v="177"/>
    <x v="176"/>
    <n v="133.5"/>
    <n v="3.0499999999999999E-2"/>
    <n v="98.74"/>
    <n v="2.2599999999999999E-2"/>
    <n v="-26.04"/>
  </r>
  <r>
    <n v="178"/>
    <x v="177"/>
    <n v="7.0000000000000007E-2"/>
    <n v="0"/>
    <n v="0.03"/>
    <n v="0"/>
    <n v="-57.47"/>
  </r>
  <r>
    <n v="179"/>
    <x v="178"/>
    <n v="1.92"/>
    <n v="4.0000000000000002E-4"/>
    <n v="1.71"/>
    <n v="4.0000000000000002E-4"/>
    <n v="-11.17"/>
  </r>
  <r>
    <n v="180"/>
    <x v="179"/>
    <n v="0.52"/>
    <n v="1E-4"/>
    <n v="3.57"/>
    <n v="8.0000000000000004E-4"/>
    <n v="587.28"/>
  </r>
  <r>
    <n v="181"/>
    <x v="180"/>
    <n v="1.53"/>
    <n v="4.0000000000000002E-4"/>
    <n v="1.47"/>
    <n v="2.9999999999999997E-4"/>
    <n v="-3.89"/>
  </r>
  <r>
    <n v="182"/>
    <x v="181"/>
    <n v="11558.57"/>
    <n v="2.6444999999999999"/>
    <n v="11756.65"/>
    <n v="2.6859999999999999"/>
    <n v="1.71"/>
  </r>
  <r>
    <n v="183"/>
    <x v="182"/>
    <n v="938.57"/>
    <n v="0.2147"/>
    <n v="1001.1"/>
    <n v="0.22869999999999999"/>
    <n v="6.66"/>
  </r>
  <r>
    <n v="184"/>
    <x v="183"/>
    <n v="106.91"/>
    <n v="2.4500000000000001E-2"/>
    <n v="100"/>
    <n v="2.2800000000000001E-2"/>
    <n v="-6.46"/>
  </r>
  <r>
    <n v="185"/>
    <x v="184"/>
    <n v="76.19"/>
    <n v="1.7399999999999999E-2"/>
    <n v="196.03"/>
    <n v="4.48E-2"/>
    <n v="157.28"/>
  </r>
  <r>
    <n v="186"/>
    <x v="185"/>
    <n v="267.86"/>
    <n v="6.13E-2"/>
    <n v="385.47"/>
    <n v="8.8099999999999998E-2"/>
    <n v="43.91"/>
  </r>
  <r>
    <n v="187"/>
    <x v="186"/>
    <n v="14414.27"/>
    <n v="3.2978999999999998"/>
    <n v="12976.15"/>
    <n v="2.9645999999999999"/>
    <n v="-9.98"/>
  </r>
  <r>
    <n v="188"/>
    <x v="187"/>
    <n v="0.45"/>
    <n v="1E-4"/>
    <n v="0.68"/>
    <n v="2.0000000000000001E-4"/>
    <n v="49.55"/>
  </r>
  <r>
    <n v="189"/>
    <x v="188"/>
    <n v="193.03"/>
    <n v="4.4200000000000003E-2"/>
    <n v="380.38"/>
    <n v="8.6900000000000005E-2"/>
    <n v="97.05"/>
  </r>
  <r>
    <n v="190"/>
    <x v="189"/>
    <n v="586.97"/>
    <n v="0.1343"/>
    <n v="586.74"/>
    <n v="0.13400000000000001"/>
    <n v="-0.04"/>
  </r>
  <r>
    <n v="191"/>
    <x v="190"/>
    <n v="2.99"/>
    <n v="6.9999999999999999E-4"/>
    <n v="2.56"/>
    <n v="5.9999999999999995E-4"/>
    <n v="-14.37"/>
  </r>
  <r>
    <n v="192"/>
    <x v="191"/>
    <n v="819.58"/>
    <n v="0.1875"/>
    <n v="765.67"/>
    <n v="0.1749"/>
    <n v="-6.58"/>
  </r>
  <r>
    <n v="193"/>
    <x v="192"/>
    <n v="8707.5300000000007"/>
    <n v="1.9922"/>
    <n v="7462.28"/>
    <n v="1.7049000000000001"/>
    <n v="-14.3"/>
  </r>
  <r>
    <n v="194"/>
    <x v="193"/>
    <n v="41.68"/>
    <n v="9.4999999999999998E-3"/>
    <n v="21.26"/>
    <n v="4.8999999999999998E-3"/>
    <n v="-48.99"/>
  </r>
  <r>
    <n v="195"/>
    <x v="194"/>
    <n v="4793.7"/>
    <n v="1.0968"/>
    <n v="4763.75"/>
    <n v="1.0883"/>
    <n v="-0.62"/>
  </r>
  <r>
    <n v="196"/>
    <x v="195"/>
    <n v="4116.8999999999996"/>
    <n v="0.94189999999999996"/>
    <n v="4550.78"/>
    <n v="1.0397000000000001"/>
    <n v="10.54"/>
  </r>
  <r>
    <n v="197"/>
    <x v="196"/>
    <n v="0"/>
    <n v="0"/>
    <n v="0.13"/>
    <n v="0"/>
    <n v="82752.23"/>
  </r>
  <r>
    <n v="198"/>
    <x v="197"/>
    <n v="4.99"/>
    <n v="1.1000000000000001E-3"/>
    <n v="2.73"/>
    <n v="5.9999999999999995E-4"/>
    <n v="-45.21"/>
  </r>
  <r>
    <n v="199"/>
    <x v="198"/>
    <n v="7.26"/>
    <n v="1.6999999999999999E-3"/>
    <n v="10.23"/>
    <n v="2.3E-3"/>
    <n v="40.83"/>
  </r>
  <r>
    <n v="200"/>
    <x v="199"/>
    <n v="2.38"/>
    <n v="5.0000000000000001E-4"/>
    <n v="3.28"/>
    <n v="8.0000000000000004E-4"/>
    <n v="37.83"/>
  </r>
  <r>
    <n v="201"/>
    <x v="200"/>
    <n v="0.65"/>
    <n v="1E-4"/>
    <n v="0.02"/>
    <n v="0"/>
    <n v="-96.63"/>
  </r>
  <r>
    <n v="202"/>
    <x v="201"/>
    <n v="805.04"/>
    <n v="0.1842"/>
    <n v="589.03"/>
    <n v="0.1346"/>
    <n v="-26.83"/>
  </r>
  <r>
    <n v="203"/>
    <x v="202"/>
    <n v="29.25"/>
    <n v="6.7000000000000002E-3"/>
    <n v="28.55"/>
    <n v="6.4999999999999997E-3"/>
    <n v="-2.41"/>
  </r>
  <r>
    <n v="204"/>
    <x v="203"/>
    <n v="0.11"/>
    <n v="0"/>
    <n v="0"/>
    <n v="0"/>
    <n v="0"/>
  </r>
  <r>
    <n v="205"/>
    <x v="204"/>
    <n v="24.79"/>
    <n v="5.7000000000000002E-3"/>
    <n v="18.57"/>
    <n v="4.1999999999999997E-3"/>
    <n v="-25.08"/>
  </r>
  <r>
    <n v="206"/>
    <x v="205"/>
    <n v="1018.8"/>
    <n v="0.2331"/>
    <n v="1262.05"/>
    <n v="0.2883"/>
    <n v="23.88"/>
  </r>
  <r>
    <n v="207"/>
    <x v="206"/>
    <n v="1526.92"/>
    <n v="0.34939999999999999"/>
    <n v="1475.41"/>
    <n v="0.33710000000000001"/>
    <n v="-3.37"/>
  </r>
  <r>
    <n v="208"/>
    <x v="207"/>
    <n v="63.2"/>
    <n v="1.4500000000000001E-2"/>
    <n v="63.71"/>
    <n v="1.46E-2"/>
    <n v="0.8"/>
  </r>
  <r>
    <n v="209"/>
    <x v="208"/>
    <n v="1840.59"/>
    <n v="0.42109999999999997"/>
    <n v="1781.7"/>
    <n v="0.40710000000000002"/>
    <n v="-3.2"/>
  </r>
  <r>
    <n v="210"/>
    <x v="209"/>
    <n v="51.64"/>
    <n v="1.18E-2"/>
    <n v="45.68"/>
    <n v="1.04E-2"/>
    <n v="-11.55"/>
  </r>
  <r>
    <n v="211"/>
    <x v="210"/>
    <n v="4616.62"/>
    <n v="1.0563"/>
    <n v="4789.6099999999997"/>
    <n v="1.0943000000000001"/>
    <n v="3.75"/>
  </r>
  <r>
    <n v="212"/>
    <x v="211"/>
    <n v="5038.97"/>
    <n v="1.1529"/>
    <n v="4812.58"/>
    <n v="1.0994999999999999"/>
    <n v="-4.49"/>
  </r>
  <r>
    <n v="213"/>
    <x v="212"/>
    <n v="48.02"/>
    <n v="1.0999999999999999E-2"/>
    <n v="38.409999999999997"/>
    <n v="8.8000000000000005E-3"/>
    <n v="-20"/>
  </r>
  <r>
    <n v="214"/>
    <x v="213"/>
    <n v="3229.01"/>
    <n v="0.73880000000000001"/>
    <n v="2522.0500000000002"/>
    <n v="0.57620000000000005"/>
    <n v="-21.89"/>
  </r>
  <r>
    <n v="215"/>
    <x v="214"/>
    <n v="0"/>
    <n v="0"/>
    <n v="0.05"/>
    <n v="0"/>
    <n v="0"/>
  </r>
  <r>
    <n v="216"/>
    <x v="215"/>
    <n v="1.59"/>
    <n v="4.0000000000000002E-4"/>
    <n v="1.1399999999999999"/>
    <n v="2.9999999999999997E-4"/>
    <n v="-28.43"/>
  </r>
  <r>
    <n v="217"/>
    <x v="216"/>
    <n v="109.06"/>
    <n v="2.5000000000000001E-2"/>
    <n v="120.65"/>
    <n v="2.76E-2"/>
    <n v="10.63"/>
  </r>
  <r>
    <n v="218"/>
    <x v="217"/>
    <n v="439.2"/>
    <n v="0.10050000000000001"/>
    <n v="377.99"/>
    <n v="8.6400000000000005E-2"/>
    <n v="-13.94"/>
  </r>
  <r>
    <n v="219"/>
    <x v="218"/>
    <n v="6654.63"/>
    <n v="1.5225"/>
    <n v="5716.54"/>
    <n v="1.306"/>
    <n v="-14.1"/>
  </r>
  <r>
    <n v="220"/>
    <x v="219"/>
    <n v="37.46"/>
    <n v="8.6E-3"/>
    <n v="54.16"/>
    <n v="1.24E-2"/>
    <n v="44.6"/>
  </r>
  <r>
    <n v="221"/>
    <x v="220"/>
    <n v="1.1100000000000001"/>
    <n v="2.9999999999999997E-4"/>
    <n v="1.72"/>
    <n v="4.0000000000000002E-4"/>
    <n v="55.05"/>
  </r>
  <r>
    <n v="222"/>
    <x v="221"/>
    <n v="0.11"/>
    <n v="0"/>
    <n v="0.01"/>
    <n v="0"/>
    <n v="-89.27"/>
  </r>
  <r>
    <n v="223"/>
    <x v="222"/>
    <n v="35625.019999999997"/>
    <n v="8.1508000000000003"/>
    <n v="36638.019999999997"/>
    <n v="8.3704999999999998"/>
    <n v="2.84"/>
  </r>
  <r>
    <n v="224"/>
    <x v="223"/>
    <n v="12922.65"/>
    <n v="2.9565999999999999"/>
    <n v="14549.95"/>
    <n v="3.3241000000000001"/>
    <n v="12.59"/>
  </r>
  <r>
    <n v="225"/>
    <x v="224"/>
    <n v="77515.03"/>
    <n v="17.735099999999999"/>
    <n v="86514.28"/>
    <n v="19.765499999999999"/>
    <n v="11.61"/>
  </r>
  <r>
    <n v="226"/>
    <x v="225"/>
    <n v="508.14"/>
    <n v="0.1163"/>
    <n v="451.5"/>
    <n v="0.1032"/>
    <n v="-11.15"/>
  </r>
  <r>
    <n v="227"/>
    <x v="226"/>
    <n v="173.3"/>
    <n v="3.9699999999999999E-2"/>
    <n v="187.4"/>
    <n v="4.2799999999999998E-2"/>
    <n v="8.14"/>
  </r>
  <r>
    <n v="228"/>
    <x v="227"/>
    <n v="0"/>
    <n v="0"/>
    <n v="0"/>
    <n v="0"/>
    <n v="0"/>
  </r>
  <r>
    <n v="229"/>
    <x v="228"/>
    <n v="2987"/>
    <n v="0.68340000000000001"/>
    <n v="3579.33"/>
    <n v="0.81779999999999997"/>
    <n v="19.829999999999998"/>
  </r>
  <r>
    <n v="230"/>
    <x v="229"/>
    <n v="520.83000000000004"/>
    <n v="0.1192"/>
    <n v="153.29"/>
    <n v="3.5000000000000003E-2"/>
    <n v="-70.569999999999993"/>
  </r>
  <r>
    <n v="231"/>
    <x v="230"/>
    <n v="0.3"/>
    <n v="1E-4"/>
    <n v="0.59"/>
    <n v="1E-4"/>
    <n v="95.94"/>
  </r>
  <r>
    <n v="232"/>
    <x v="231"/>
    <n v="372.56"/>
    <n v="8.5199999999999998E-2"/>
    <n v="517.72"/>
    <n v="0.1183"/>
    <n v="38.97"/>
  </r>
  <r>
    <n v="233"/>
    <x v="232"/>
    <n v="3.92"/>
    <n v="8.9999999999999998E-4"/>
    <n v="3.75"/>
    <n v="8.9999999999999998E-4"/>
    <n v="-4.3899999999999997"/>
  </r>
  <r>
    <n v="234"/>
    <x v="233"/>
    <n v="0.09"/>
    <n v="0"/>
    <n v="0"/>
    <n v="0"/>
    <n v="0"/>
  </r>
  <r>
    <n v="235"/>
    <x v="234"/>
    <n v="175.33"/>
    <n v="4.0099999999999997E-2"/>
    <n v="216.99"/>
    <n v="4.9599999999999998E-2"/>
    <n v="23.76"/>
  </r>
  <r>
    <n v="236"/>
    <x v="235"/>
    <n v="5470.15"/>
    <n v="1.2515000000000001"/>
    <n v="5428.92"/>
    <n v="1.2403"/>
    <n v="-0.75"/>
  </r>
  <r>
    <n v="237"/>
    <x v="236"/>
    <n v="5.83"/>
    <n v="1.2999999999999999E-3"/>
    <n v="4.7300000000000004"/>
    <n v="1.1000000000000001E-3"/>
    <n v="-18.79"/>
  </r>
  <r>
    <n v="238"/>
    <x v="237"/>
    <n v="875.98"/>
    <n v="0.20039999999999999"/>
    <n v="855.7"/>
    <n v="0.19550000000000001"/>
    <n v="-2.31"/>
  </r>
  <r>
    <n v="239"/>
    <x v="238"/>
    <n v="244.31"/>
    <n v="5.5899999999999998E-2"/>
    <n v="212.56"/>
    <n v="4.8599999999999997E-2"/>
    <n v="-13"/>
  </r>
  <r>
    <n v="240"/>
    <x v="239"/>
    <n v="152.37"/>
    <n v="3.49E-2"/>
    <n v="149.31"/>
    <n v="3.4099999999999998E-2"/>
    <n v="-2.00999999999999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FA52B5A-5F63-48E5-9B5E-5FFD595737D5}"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C14" firstHeaderRow="0" firstDataRow="1" firstDataCol="1"/>
  <pivotFields count="7">
    <pivotField numFmtId="1" showAll="0"/>
    <pivotField axis="axisRow" showAll="0" measureFilter="1" sortType="descending">
      <items count="2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t="default"/>
      </items>
      <autoSortScope>
        <pivotArea dataOnly="0" outline="0" fieldPosition="0">
          <references count="1">
            <reference field="4294967294" count="1" selected="0">
              <x v="1"/>
            </reference>
          </references>
        </pivotArea>
      </autoSortScope>
    </pivotField>
    <pivotField dataField="1" numFmtId="2" showAll="0"/>
    <pivotField numFmtId="2" showAll="0"/>
    <pivotField dataField="1" numFmtId="2" showAll="0"/>
    <pivotField numFmtId="2" showAll="0"/>
    <pivotField numFmtId="2" showAll="0"/>
  </pivotFields>
  <rowFields count="1">
    <field x="1"/>
  </rowFields>
  <rowItems count="11">
    <i>
      <x v="224"/>
    </i>
    <i>
      <x v="222"/>
    </i>
    <i>
      <x v="151"/>
    </i>
    <i>
      <x v="223"/>
    </i>
    <i>
      <x v="43"/>
    </i>
    <i>
      <x v="186"/>
    </i>
    <i>
      <x v="181"/>
    </i>
    <i>
      <x v="17"/>
    </i>
    <i>
      <x v="79"/>
    </i>
    <i>
      <x v="103"/>
    </i>
    <i t="grand">
      <x/>
    </i>
  </rowItems>
  <colFields count="1">
    <field x="-2"/>
  </colFields>
  <colItems count="2">
    <i>
      <x/>
    </i>
    <i i="1">
      <x v="1"/>
    </i>
  </colItems>
  <dataFields count="2">
    <dataField name="Sum of 2023-2024" fld="2" baseField="0" baseItem="0" numFmtId="2"/>
    <dataField name="Sum of 2024-2025" fld="4" baseField="0" baseItem="0" numFmtId="2"/>
  </dataFields>
  <chartFormats count="4">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Medium4" showRowHeaders="1" showColHeaders="1" showRowStripes="0" showColStripes="0" showLastColumn="1"/>
  <filters count="1">
    <filter fld="1"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13AD92B-5246-4BDE-9309-A8821B951500}"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7">
    <pivotField numFmtId="1" showAll="0"/>
    <pivotField axis="axisRow" showAll="0" measureFilter="1" sortType="descending">
      <items count="2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t="default"/>
      </items>
      <autoSortScope>
        <pivotArea dataOnly="0" outline="0" fieldPosition="0">
          <references count="1">
            <reference field="4294967294" count="1" selected="0">
              <x v="0"/>
            </reference>
          </references>
        </pivotArea>
      </autoSortScope>
    </pivotField>
    <pivotField numFmtId="2" showAll="0"/>
    <pivotField numFmtId="2" showAll="0"/>
    <pivotField dataField="1" numFmtId="2" showAll="0"/>
    <pivotField numFmtId="2" showAll="0"/>
    <pivotField numFmtId="2" showAll="0"/>
  </pivotFields>
  <rowFields count="1">
    <field x="1"/>
  </rowFields>
  <rowItems count="6">
    <i>
      <x v="224"/>
    </i>
    <i>
      <x v="222"/>
    </i>
    <i>
      <x v="151"/>
    </i>
    <i>
      <x v="223"/>
    </i>
    <i>
      <x v="43"/>
    </i>
    <i t="grand">
      <x/>
    </i>
  </rowItems>
  <colItems count="1">
    <i/>
  </colItems>
  <dataFields count="1">
    <dataField name="Sum of 2024-2025" fld="4" baseField="0" baseItem="0" numFmtId="2"/>
  </dataFields>
  <chartFormats count="7">
    <chartFormat chart="1"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 count="1" selected="0">
            <x v="224"/>
          </reference>
        </references>
      </pivotArea>
    </chartFormat>
    <chartFormat chart="3" format="9">
      <pivotArea type="data" outline="0" fieldPosition="0">
        <references count="2">
          <reference field="4294967294" count="1" selected="0">
            <x v="0"/>
          </reference>
          <reference field="1" count="1" selected="0">
            <x v="222"/>
          </reference>
        </references>
      </pivotArea>
    </chartFormat>
    <chartFormat chart="3" format="10">
      <pivotArea type="data" outline="0" fieldPosition="0">
        <references count="2">
          <reference field="4294967294" count="1" selected="0">
            <x v="0"/>
          </reference>
          <reference field="1" count="1" selected="0">
            <x v="151"/>
          </reference>
        </references>
      </pivotArea>
    </chartFormat>
    <chartFormat chart="3" format="11">
      <pivotArea type="data" outline="0" fieldPosition="0">
        <references count="2">
          <reference field="4294967294" count="1" selected="0">
            <x v="0"/>
          </reference>
          <reference field="1" count="1" selected="0">
            <x v="223"/>
          </reference>
        </references>
      </pivotArea>
    </chartFormat>
    <chartFormat chart="3" format="12">
      <pivotArea type="data" outline="0" fieldPosition="0">
        <references count="2">
          <reference field="4294967294" count="1" selected="0">
            <x v="0"/>
          </reference>
          <reference field="1" count="1" selected="0">
            <x v="43"/>
          </reference>
        </references>
      </pivotArea>
    </chartFormat>
  </chartFormats>
  <pivotTableStyleInfo name="PivotStyleMedium4" showRowHeaders="1" showColHeaders="1" showRowStripes="0" showColStripes="0" showLastColumn="1"/>
  <filters count="1">
    <filter fld="1"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C358FE0-56EA-429B-91A8-1BF557B42558}"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4" firstHeaderRow="0" firstDataRow="1" firstDataCol="0"/>
  <pivotFields count="7">
    <pivotField numFmtId="1" showAll="0"/>
    <pivotField showAll="0">
      <items count="2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t="default"/>
      </items>
    </pivotField>
    <pivotField dataField="1" numFmtId="2" showAll="0"/>
    <pivotField numFmtId="2" showAll="0"/>
    <pivotField dataField="1" numFmtId="2" showAll="0"/>
    <pivotField numFmtId="2" showAll="0"/>
    <pivotField numFmtId="2" showAll="0"/>
  </pivotFields>
  <rowItems count="1">
    <i/>
  </rowItems>
  <colFields count="1">
    <field x="-2"/>
  </colFields>
  <colItems count="2">
    <i>
      <x/>
    </i>
    <i i="1">
      <x v="1"/>
    </i>
  </colItems>
  <dataFields count="2">
    <dataField name="Sum of 2023-2024" fld="2" baseField="0" baseItem="0" numFmtId="2"/>
    <dataField name="Sum of 2024-2025" fld="4" baseField="0" baseItem="0" numFmtId="2"/>
  </dataField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2297E8D-C260-49FB-A645-D730B30F465A}" name="PivotTable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44" firstHeaderRow="0" firstDataRow="1" firstDataCol="1"/>
  <pivotFields count="7">
    <pivotField numFmtId="1" showAll="0"/>
    <pivotField axis="axisRow" showAll="0">
      <items count="2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t="default"/>
      </items>
    </pivotField>
    <pivotField dataField="1" numFmtId="2" showAll="0"/>
    <pivotField numFmtId="2" showAll="0"/>
    <pivotField dataField="1" numFmtId="2" showAll="0"/>
    <pivotField numFmtId="2" showAll="0"/>
    <pivotField numFmtId="2" showAll="0"/>
  </pivotFields>
  <rowFields count="1">
    <field x="1"/>
  </rowFields>
  <rowItems count="24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t="grand">
      <x/>
    </i>
  </rowItems>
  <colFields count="1">
    <field x="-2"/>
  </colFields>
  <colItems count="2">
    <i>
      <x/>
    </i>
    <i i="1">
      <x v="1"/>
    </i>
  </colItems>
  <dataFields count="2">
    <dataField name="Sum of 2023-2024" fld="2" baseField="0" baseItem="0" numFmtId="2"/>
    <dataField name="Sum of 2024-2025" fld="4" baseField="0" baseItem="0" numFmtId="2"/>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8584FA4-FBC9-40E9-A42D-3B2E91C36F18}" name="PivotTable5"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44" firstHeaderRow="0" firstDataRow="1" firstDataCol="1"/>
  <pivotFields count="7">
    <pivotField numFmtId="1" showAll="0"/>
    <pivotField axis="axisRow" showAll="0">
      <items count="2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t="default"/>
      </items>
    </pivotField>
    <pivotField dataField="1" numFmtId="2" showAll="0"/>
    <pivotField numFmtId="2" showAll="0"/>
    <pivotField dataField="1" numFmtId="2" showAll="0"/>
    <pivotField numFmtId="2" showAll="0"/>
    <pivotField numFmtId="2" showAll="0"/>
  </pivotFields>
  <rowFields count="1">
    <field x="1"/>
  </rowFields>
  <rowItems count="24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t="grand">
      <x/>
    </i>
  </rowItems>
  <colFields count="1">
    <field x="-2"/>
  </colFields>
  <colItems count="2">
    <i>
      <x/>
    </i>
    <i i="1">
      <x v="1"/>
    </i>
  </colItems>
  <dataFields count="2">
    <dataField name="Sum of 2023-2024" fld="2" baseField="0" baseItem="0" numFmtId="2"/>
    <dataField name="Sum of 2024-2025" fld="4" baseField="0" baseItem="0" numFmtId="2"/>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_Region" xr10:uid="{F40DF479-A5C1-495A-AC5F-BD571B434104}" sourceName="Country/Region">
  <pivotTables>
    <pivotTable tabId="6" name="PivotTable4"/>
    <pivotTable tabId="2" name="PivotTable1"/>
    <pivotTable tabId="4" name="PivotTable2"/>
    <pivotTable tabId="5" name="PivotTable3"/>
  </pivotTables>
  <data>
    <tabular pivotCacheId="1112773373">
      <items count="240">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5" s="1"/>
        <i x="226" s="1"/>
        <i x="227" s="1"/>
        <i x="228" s="1"/>
        <i x="229" s="1"/>
        <i x="230" s="1"/>
        <i x="231" s="1"/>
        <i x="232" s="1"/>
        <i x="233" s="1"/>
        <i x="234" s="1"/>
        <i x="235" s="1"/>
        <i x="236" s="1"/>
        <i x="237" s="1"/>
        <i x="238" s="1"/>
        <i x="23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Region" xr10:uid="{AE7A7A57-B504-4B75-AD63-14EE20F70BC9}" cache="Slicer_Country_Region" caption="Country/Region" startItem="8"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36F2E7-D58B-4411-94D5-088C2E9BFCD3}" name="Table1" displayName="Table1" ref="A1:G241" totalsRowShown="0" headerRowDxfId="7">
  <autoFilter ref="A1:G241" xr:uid="{5B36F2E7-D58B-4411-94D5-088C2E9BFCD3}"/>
  <tableColumns count="7">
    <tableColumn id="1" xr3:uid="{BF319A56-AECC-49EA-B003-FE8E580B00D7}" name="S.No."/>
    <tableColumn id="2" xr3:uid="{02FC5DD1-7CA6-44BC-92AB-5BDF12B5333E}" name="Country/Region"/>
    <tableColumn id="3" xr3:uid="{40477AC5-C77E-4DA2-A999-2438B235482C}" name="2023-2024" dataDxfId="6"/>
    <tableColumn id="4" xr3:uid="{9191929A-6BB2-4A66-B488-1056EE6EE130}" name="%Share" dataDxfId="5"/>
    <tableColumn id="5" xr3:uid="{71D0B038-353C-4E50-84A0-B9AA471CF756}" name="2024-2025" dataDxfId="4"/>
    <tableColumn id="6" xr3:uid="{1A5EDF47-A935-4711-934F-28ABC2634AC6}" name="%Share2" dataDxfId="3"/>
    <tableColumn id="7" xr3:uid="{E61F0AA6-BDE9-4ACA-9926-6C12FE3D230E}" name="%Growth" dataDxfId="2"/>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2C64B-43D1-4170-93CE-FBF646C80A86}">
  <dimension ref="A3:C14"/>
  <sheetViews>
    <sheetView workbookViewId="0">
      <selection activeCell="I46" sqref="I46"/>
    </sheetView>
  </sheetViews>
  <sheetFormatPr defaultRowHeight="15"/>
  <cols>
    <col min="1" max="1" width="15.7109375" bestFit="1" customWidth="1"/>
    <col min="2" max="3" width="16.42578125" bestFit="1" customWidth="1"/>
  </cols>
  <sheetData>
    <row r="3" spans="1:3">
      <c r="A3" s="5" t="s">
        <v>247</v>
      </c>
      <c r="B3" t="s">
        <v>249</v>
      </c>
      <c r="C3" t="s">
        <v>250</v>
      </c>
    </row>
    <row r="4" spans="1:3">
      <c r="A4" s="6" t="s">
        <v>230</v>
      </c>
      <c r="B4" s="3">
        <v>77515.03</v>
      </c>
      <c r="C4" s="3">
        <v>86514.28</v>
      </c>
    </row>
    <row r="5" spans="1:3">
      <c r="A5" s="6" t="s">
        <v>228</v>
      </c>
      <c r="B5" s="3">
        <v>35625.019999999997</v>
      </c>
      <c r="C5" s="3">
        <v>36638.019999999997</v>
      </c>
    </row>
    <row r="6" spans="1:3">
      <c r="A6" s="6" t="s">
        <v>157</v>
      </c>
      <c r="B6" s="3">
        <v>22366.86</v>
      </c>
      <c r="C6" s="3">
        <v>22763.41</v>
      </c>
    </row>
    <row r="7" spans="1:3">
      <c r="A7" s="6" t="s">
        <v>229</v>
      </c>
      <c r="B7" s="3">
        <v>12922.65</v>
      </c>
      <c r="C7" s="3">
        <v>14549.95</v>
      </c>
    </row>
    <row r="8" spans="1:3">
      <c r="A8" s="6" t="s">
        <v>49</v>
      </c>
      <c r="B8" s="3">
        <v>16658.91</v>
      </c>
      <c r="C8" s="3">
        <v>14252.21</v>
      </c>
    </row>
    <row r="9" spans="1:3">
      <c r="A9" s="6" t="s">
        <v>192</v>
      </c>
      <c r="B9" s="3">
        <v>14414.27</v>
      </c>
      <c r="C9" s="3">
        <v>12976.15</v>
      </c>
    </row>
    <row r="10" spans="1:3">
      <c r="A10" s="6" t="s">
        <v>187</v>
      </c>
      <c r="B10" s="3">
        <v>11558.57</v>
      </c>
      <c r="C10" s="3">
        <v>11756.65</v>
      </c>
    </row>
    <row r="11" spans="1:3">
      <c r="A11" s="6" t="s">
        <v>23</v>
      </c>
      <c r="B11" s="3">
        <v>11065.87</v>
      </c>
      <c r="C11" s="3">
        <v>11485.26</v>
      </c>
    </row>
    <row r="12" spans="1:3">
      <c r="A12" s="6" t="s">
        <v>85</v>
      </c>
      <c r="B12" s="3">
        <v>9839.6299999999992</v>
      </c>
      <c r="C12" s="3">
        <v>10628.61</v>
      </c>
    </row>
    <row r="13" spans="1:3">
      <c r="A13" s="6" t="s">
        <v>109</v>
      </c>
      <c r="B13" s="3">
        <v>8765.7800000000007</v>
      </c>
      <c r="C13" s="3">
        <v>7727.33</v>
      </c>
    </row>
    <row r="14" spans="1:3">
      <c r="A14" s="6" t="s">
        <v>248</v>
      </c>
      <c r="B14" s="3">
        <v>220732.59</v>
      </c>
      <c r="C14" s="3">
        <v>229291.87</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3F952-381E-4FA2-BF92-DD06B83C7E44}">
  <dimension ref="A1:F9"/>
  <sheetViews>
    <sheetView zoomScale="66" zoomScaleNormal="66" workbookViewId="0">
      <selection activeCell="AA20" sqref="AA20"/>
    </sheetView>
  </sheetViews>
  <sheetFormatPr defaultRowHeight="15"/>
  <cols>
    <col min="1" max="1" width="25.5703125" style="8" customWidth="1"/>
    <col min="2" max="2" width="27.85546875" style="8" customWidth="1"/>
    <col min="3" max="3" width="14.140625" style="8" customWidth="1"/>
    <col min="4" max="4" width="9.7109375" customWidth="1"/>
  </cols>
  <sheetData>
    <row r="1" spans="1:6">
      <c r="A1" s="11" t="s">
        <v>253</v>
      </c>
      <c r="B1" s="11"/>
      <c r="C1" s="11"/>
    </row>
    <row r="2" spans="1:6">
      <c r="A2" s="7" t="s">
        <v>254</v>
      </c>
      <c r="B2" s="7" t="s">
        <v>251</v>
      </c>
      <c r="C2" s="10" t="s">
        <v>252</v>
      </c>
    </row>
    <row r="3" spans="1:6">
      <c r="A3" s="7">
        <v>437072.06000000011</v>
      </c>
      <c r="B3" s="7">
        <v>437704.54999999987</v>
      </c>
      <c r="C3" s="10">
        <f>(B3-A3)/A3*100</f>
        <v>0.1447106914131637</v>
      </c>
    </row>
    <row r="9" spans="1:6">
      <c r="F9" s="9"/>
    </row>
  </sheetData>
  <mergeCells count="1">
    <mergeCell ref="A1:C1"/>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4F08D-60A9-435D-8187-1CFA92E226B2}">
  <dimension ref="A3:B9"/>
  <sheetViews>
    <sheetView workbookViewId="0">
      <selection activeCell="G20" sqref="G20"/>
    </sheetView>
  </sheetViews>
  <sheetFormatPr defaultRowHeight="15"/>
  <cols>
    <col min="1" max="1" width="13.140625" bestFit="1" customWidth="1"/>
    <col min="2" max="2" width="16.42578125" bestFit="1" customWidth="1"/>
  </cols>
  <sheetData>
    <row r="3" spans="1:2">
      <c r="A3" s="5" t="s">
        <v>247</v>
      </c>
      <c r="B3" t="s">
        <v>250</v>
      </c>
    </row>
    <row r="4" spans="1:2">
      <c r="A4" s="6" t="s">
        <v>230</v>
      </c>
      <c r="B4" s="3">
        <v>86514.28</v>
      </c>
    </row>
    <row r="5" spans="1:2">
      <c r="A5" s="6" t="s">
        <v>228</v>
      </c>
      <c r="B5" s="3">
        <v>36638.019999999997</v>
      </c>
    </row>
    <row r="6" spans="1:2">
      <c r="A6" s="6" t="s">
        <v>157</v>
      </c>
      <c r="B6" s="3">
        <v>22763.41</v>
      </c>
    </row>
    <row r="7" spans="1:2">
      <c r="A7" s="6" t="s">
        <v>229</v>
      </c>
      <c r="B7" s="3">
        <v>14549.95</v>
      </c>
    </row>
    <row r="8" spans="1:2">
      <c r="A8" s="6" t="s">
        <v>49</v>
      </c>
      <c r="B8" s="3">
        <v>14252.21</v>
      </c>
    </row>
    <row r="9" spans="1:2">
      <c r="A9" s="6" t="s">
        <v>248</v>
      </c>
      <c r="B9" s="3">
        <v>174717.87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549D6-9DEA-45DE-9366-D6A2777BA283}">
  <dimension ref="A3:B4"/>
  <sheetViews>
    <sheetView workbookViewId="0">
      <selection activeCell="K18" sqref="K18"/>
    </sheetView>
  </sheetViews>
  <sheetFormatPr defaultRowHeight="15"/>
  <cols>
    <col min="1" max="2" width="16.42578125" bestFit="1" customWidth="1"/>
  </cols>
  <sheetData>
    <row r="3" spans="1:2">
      <c r="A3" t="s">
        <v>249</v>
      </c>
      <c r="B3" t="s">
        <v>250</v>
      </c>
    </row>
    <row r="4" spans="1:2">
      <c r="A4" s="3">
        <v>437072.06000000011</v>
      </c>
      <c r="B4" s="3">
        <v>437704.54999999987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BC7C4-AFFB-48C7-9653-FF50E2FD90DA}">
  <dimension ref="A3:C244"/>
  <sheetViews>
    <sheetView workbookViewId="0">
      <selection activeCell="A6" sqref="A6"/>
    </sheetView>
  </sheetViews>
  <sheetFormatPr defaultRowHeight="15"/>
  <cols>
    <col min="1" max="1" width="40.7109375" bestFit="1" customWidth="1"/>
    <col min="2" max="3" width="16.42578125" bestFit="1" customWidth="1"/>
  </cols>
  <sheetData>
    <row r="3" spans="1:3">
      <c r="A3" s="5" t="s">
        <v>247</v>
      </c>
      <c r="B3" t="s">
        <v>249</v>
      </c>
      <c r="C3" t="s">
        <v>250</v>
      </c>
    </row>
    <row r="4" spans="1:3">
      <c r="A4" s="6" t="s">
        <v>6</v>
      </c>
      <c r="B4" s="3">
        <v>355.45</v>
      </c>
      <c r="C4" s="3">
        <v>318.91000000000003</v>
      </c>
    </row>
    <row r="5" spans="1:3">
      <c r="A5" s="6" t="s">
        <v>7</v>
      </c>
      <c r="B5" s="3">
        <v>1154.05</v>
      </c>
      <c r="C5" s="3">
        <v>77.36</v>
      </c>
    </row>
    <row r="6" spans="1:3">
      <c r="A6" s="6" t="s">
        <v>8</v>
      </c>
      <c r="B6" s="3">
        <v>848.16</v>
      </c>
      <c r="C6" s="3">
        <v>947.04</v>
      </c>
    </row>
    <row r="7" spans="1:3">
      <c r="A7" s="6" t="s">
        <v>9</v>
      </c>
      <c r="B7" s="3">
        <v>4.1500000000000004</v>
      </c>
      <c r="C7" s="3">
        <v>2.46</v>
      </c>
    </row>
    <row r="8" spans="1:3">
      <c r="A8" s="6" t="s">
        <v>10</v>
      </c>
      <c r="B8" s="3">
        <v>0.32</v>
      </c>
      <c r="C8" s="3">
        <v>0.26</v>
      </c>
    </row>
    <row r="9" spans="1:3">
      <c r="A9" s="6" t="s">
        <v>11</v>
      </c>
      <c r="B9" s="3">
        <v>697.72</v>
      </c>
      <c r="C9" s="3">
        <v>524.35</v>
      </c>
    </row>
    <row r="10" spans="1:3">
      <c r="A10" s="6" t="s">
        <v>12</v>
      </c>
      <c r="B10" s="3">
        <v>0.26</v>
      </c>
      <c r="C10" s="3">
        <v>0.21</v>
      </c>
    </row>
    <row r="11" spans="1:3">
      <c r="A11" s="6" t="s">
        <v>13</v>
      </c>
      <c r="B11" s="3">
        <v>0.26</v>
      </c>
      <c r="C11" s="3">
        <v>0.26</v>
      </c>
    </row>
    <row r="12" spans="1:3">
      <c r="A12" s="6" t="s">
        <v>14</v>
      </c>
      <c r="B12" s="3">
        <v>14.97</v>
      </c>
      <c r="C12" s="3">
        <v>4.76</v>
      </c>
    </row>
    <row r="13" spans="1:3">
      <c r="A13" s="6" t="s">
        <v>15</v>
      </c>
      <c r="B13" s="3">
        <v>1085.75</v>
      </c>
      <c r="C13" s="3">
        <v>1018.54</v>
      </c>
    </row>
    <row r="14" spans="1:3">
      <c r="A14" s="6" t="s">
        <v>16</v>
      </c>
      <c r="B14" s="3">
        <v>94.46</v>
      </c>
      <c r="C14" s="3">
        <v>264.51</v>
      </c>
    </row>
    <row r="15" spans="1:3">
      <c r="A15" s="6" t="s">
        <v>17</v>
      </c>
      <c r="B15" s="3">
        <v>14.79</v>
      </c>
      <c r="C15" s="3">
        <v>11.84</v>
      </c>
    </row>
    <row r="16" spans="1:3">
      <c r="A16" s="6" t="s">
        <v>18</v>
      </c>
      <c r="B16" s="3">
        <v>7940.75</v>
      </c>
      <c r="C16" s="3">
        <v>8581.3799999999992</v>
      </c>
    </row>
    <row r="17" spans="1:3">
      <c r="A17" s="6" t="s">
        <v>19</v>
      </c>
      <c r="B17" s="3">
        <v>1136.4100000000001</v>
      </c>
      <c r="C17" s="3">
        <v>1405.72</v>
      </c>
    </row>
    <row r="18" spans="1:3">
      <c r="A18" s="6" t="s">
        <v>20</v>
      </c>
      <c r="B18" s="3">
        <v>89.67</v>
      </c>
      <c r="C18" s="3">
        <v>93.97</v>
      </c>
    </row>
    <row r="19" spans="1:3">
      <c r="A19" s="6" t="s">
        <v>21</v>
      </c>
      <c r="B19" s="3">
        <v>106.34</v>
      </c>
      <c r="C19" s="3">
        <v>11.47</v>
      </c>
    </row>
    <row r="20" spans="1:3">
      <c r="A20" s="6" t="s">
        <v>22</v>
      </c>
      <c r="B20" s="3">
        <v>909.42</v>
      </c>
      <c r="C20" s="3">
        <v>797.47</v>
      </c>
    </row>
    <row r="21" spans="1:3">
      <c r="A21" s="6" t="s">
        <v>23</v>
      </c>
      <c r="B21" s="3">
        <v>11065.87</v>
      </c>
      <c r="C21" s="3">
        <v>11485.26</v>
      </c>
    </row>
    <row r="22" spans="1:3">
      <c r="A22" s="6" t="s">
        <v>24</v>
      </c>
      <c r="B22" s="3">
        <v>18.829999999999998</v>
      </c>
      <c r="C22" s="3">
        <v>27.61</v>
      </c>
    </row>
    <row r="23" spans="1:3">
      <c r="A23" s="6" t="s">
        <v>25</v>
      </c>
      <c r="B23" s="3">
        <v>43.83</v>
      </c>
      <c r="C23" s="3">
        <v>69.33</v>
      </c>
    </row>
    <row r="24" spans="1:3">
      <c r="A24" s="6" t="s">
        <v>26</v>
      </c>
      <c r="B24" s="3">
        <v>7837.17</v>
      </c>
      <c r="C24" s="3">
        <v>6320.14</v>
      </c>
    </row>
    <row r="25" spans="1:3">
      <c r="A25" s="6" t="s">
        <v>27</v>
      </c>
      <c r="B25" s="3">
        <v>13.47</v>
      </c>
      <c r="C25" s="3">
        <v>13.16</v>
      </c>
    </row>
    <row r="26" spans="1:3">
      <c r="A26" s="6" t="s">
        <v>28</v>
      </c>
      <c r="B26" s="3">
        <v>752.55</v>
      </c>
      <c r="C26" s="3">
        <v>1194.98</v>
      </c>
    </row>
    <row r="27" spans="1:3">
      <c r="A27" s="6" t="s">
        <v>29</v>
      </c>
      <c r="B27" s="3">
        <v>6.08</v>
      </c>
      <c r="C27" s="3">
        <v>4.71</v>
      </c>
    </row>
    <row r="28" spans="1:3">
      <c r="A28" s="6" t="s">
        <v>30</v>
      </c>
      <c r="B28" s="3">
        <v>963.73</v>
      </c>
      <c r="C28" s="3">
        <v>1263.83</v>
      </c>
    </row>
    <row r="29" spans="1:3">
      <c r="A29" s="6" t="s">
        <v>31</v>
      </c>
      <c r="B29" s="3">
        <v>71.41</v>
      </c>
      <c r="C29" s="3">
        <v>70.12</v>
      </c>
    </row>
    <row r="30" spans="1:3">
      <c r="A30" s="6" t="s">
        <v>32</v>
      </c>
      <c r="B30" s="3">
        <v>29.28</v>
      </c>
      <c r="C30" s="3">
        <v>17.329999999999998</v>
      </c>
    </row>
    <row r="31" spans="1:3">
      <c r="A31" s="6" t="s">
        <v>33</v>
      </c>
      <c r="B31" s="3">
        <v>109.26</v>
      </c>
      <c r="C31" s="3">
        <v>173.44</v>
      </c>
    </row>
    <row r="32" spans="1:3">
      <c r="A32" s="6" t="s">
        <v>34</v>
      </c>
      <c r="B32" s="3">
        <v>0.64</v>
      </c>
      <c r="C32" s="3">
        <v>1.97</v>
      </c>
    </row>
    <row r="33" spans="1:3">
      <c r="A33" s="6" t="s">
        <v>35</v>
      </c>
      <c r="B33" s="3">
        <v>6021.84</v>
      </c>
      <c r="C33" s="3">
        <v>6771.01</v>
      </c>
    </row>
    <row r="34" spans="1:3">
      <c r="A34" s="6" t="s">
        <v>36</v>
      </c>
      <c r="B34" s="3">
        <v>0</v>
      </c>
      <c r="C34" s="3">
        <v>0.02</v>
      </c>
    </row>
    <row r="35" spans="1:3">
      <c r="A35" s="6" t="s">
        <v>37</v>
      </c>
      <c r="B35" s="3">
        <v>67.44</v>
      </c>
      <c r="C35" s="3">
        <v>58.67</v>
      </c>
    </row>
    <row r="36" spans="1:3">
      <c r="A36" s="6" t="s">
        <v>38</v>
      </c>
      <c r="B36" s="3">
        <v>223.64</v>
      </c>
      <c r="C36" s="3">
        <v>230.44</v>
      </c>
    </row>
    <row r="37" spans="1:3">
      <c r="A37" s="6" t="s">
        <v>39</v>
      </c>
      <c r="B37" s="3">
        <v>120.82</v>
      </c>
      <c r="C37" s="3">
        <v>144.38999999999999</v>
      </c>
    </row>
    <row r="38" spans="1:3">
      <c r="A38" s="6" t="s">
        <v>40</v>
      </c>
      <c r="B38" s="3">
        <v>38.369999999999997</v>
      </c>
      <c r="C38" s="3">
        <v>29.37</v>
      </c>
    </row>
    <row r="39" spans="1:3">
      <c r="A39" s="6" t="s">
        <v>41</v>
      </c>
      <c r="B39" s="3">
        <v>65.25</v>
      </c>
      <c r="C39" s="3">
        <v>11.85</v>
      </c>
    </row>
    <row r="40" spans="1:3">
      <c r="A40" s="6" t="s">
        <v>42</v>
      </c>
      <c r="B40" s="3">
        <v>185.39</v>
      </c>
      <c r="C40" s="3">
        <v>201.11</v>
      </c>
    </row>
    <row r="41" spans="1:3">
      <c r="A41" s="6" t="s">
        <v>43</v>
      </c>
      <c r="B41" s="3">
        <v>454.04</v>
      </c>
      <c r="C41" s="3">
        <v>596.15</v>
      </c>
    </row>
    <row r="42" spans="1:3">
      <c r="A42" s="6" t="s">
        <v>44</v>
      </c>
      <c r="B42" s="3">
        <v>3845.29</v>
      </c>
      <c r="C42" s="3">
        <v>4222.2700000000004</v>
      </c>
    </row>
    <row r="43" spans="1:3">
      <c r="A43" s="6" t="s">
        <v>45</v>
      </c>
      <c r="B43" s="3">
        <v>3.16</v>
      </c>
      <c r="C43" s="3">
        <v>3.6</v>
      </c>
    </row>
    <row r="44" spans="1:3">
      <c r="A44" s="6" t="s">
        <v>46</v>
      </c>
      <c r="B44" s="3">
        <v>7.12</v>
      </c>
      <c r="C44" s="3">
        <v>136.93</v>
      </c>
    </row>
    <row r="45" spans="1:3">
      <c r="A45" s="6" t="s">
        <v>47</v>
      </c>
      <c r="B45" s="3">
        <v>79.84</v>
      </c>
      <c r="C45" s="3">
        <v>81.27</v>
      </c>
    </row>
    <row r="46" spans="1:3">
      <c r="A46" s="6" t="s">
        <v>48</v>
      </c>
      <c r="B46" s="3">
        <v>1182.94</v>
      </c>
      <c r="C46" s="3">
        <v>1153.8</v>
      </c>
    </row>
    <row r="47" spans="1:3">
      <c r="A47" s="6" t="s">
        <v>49</v>
      </c>
      <c r="B47" s="3">
        <v>16658.91</v>
      </c>
      <c r="C47" s="3">
        <v>14252.21</v>
      </c>
    </row>
    <row r="48" spans="1:3">
      <c r="A48" s="6" t="s">
        <v>50</v>
      </c>
      <c r="B48" s="3">
        <v>0</v>
      </c>
      <c r="C48" s="3">
        <v>0.02</v>
      </c>
    </row>
    <row r="49" spans="1:3">
      <c r="A49" s="6" t="s">
        <v>51</v>
      </c>
      <c r="B49" s="3">
        <v>0.01</v>
      </c>
      <c r="C49" s="3">
        <v>0.06</v>
      </c>
    </row>
    <row r="50" spans="1:3">
      <c r="A50" s="6" t="s">
        <v>52</v>
      </c>
      <c r="B50" s="3">
        <v>1218.8599999999999</v>
      </c>
      <c r="C50" s="3">
        <v>1471.65</v>
      </c>
    </row>
    <row r="51" spans="1:3">
      <c r="A51" s="6" t="s">
        <v>53</v>
      </c>
      <c r="B51" s="3">
        <v>27.95</v>
      </c>
      <c r="C51" s="3">
        <v>36.93</v>
      </c>
    </row>
    <row r="52" spans="1:3">
      <c r="A52" s="6" t="s">
        <v>54</v>
      </c>
      <c r="B52" s="3">
        <v>580.69000000000005</v>
      </c>
      <c r="C52" s="3">
        <v>562.9</v>
      </c>
    </row>
    <row r="53" spans="1:3">
      <c r="A53" s="6" t="s">
        <v>55</v>
      </c>
      <c r="B53" s="3">
        <v>176.03</v>
      </c>
      <c r="C53" s="3">
        <v>178.39</v>
      </c>
    </row>
    <row r="54" spans="1:3">
      <c r="A54" s="6" t="s">
        <v>56</v>
      </c>
      <c r="B54" s="3">
        <v>0.23</v>
      </c>
      <c r="C54" s="3">
        <v>0.13</v>
      </c>
    </row>
    <row r="55" spans="1:3">
      <c r="A55" s="6" t="s">
        <v>57</v>
      </c>
      <c r="B55" s="3">
        <v>183.82</v>
      </c>
      <c r="C55" s="3">
        <v>223.87</v>
      </c>
    </row>
    <row r="56" spans="1:3">
      <c r="A56" s="6" t="s">
        <v>58</v>
      </c>
      <c r="B56" s="3">
        <v>685.53</v>
      </c>
      <c r="C56" s="3">
        <v>989.52</v>
      </c>
    </row>
    <row r="57" spans="1:3">
      <c r="A57" s="6" t="s">
        <v>59</v>
      </c>
      <c r="B57" s="3">
        <v>233.3</v>
      </c>
      <c r="C57" s="3">
        <v>335.76</v>
      </c>
    </row>
    <row r="58" spans="1:3">
      <c r="A58" s="6" t="s">
        <v>60</v>
      </c>
      <c r="B58" s="3">
        <v>40.46</v>
      </c>
      <c r="C58" s="3">
        <v>15.27</v>
      </c>
    </row>
    <row r="59" spans="1:3">
      <c r="A59" s="6" t="s">
        <v>61</v>
      </c>
      <c r="B59" s="3">
        <v>0</v>
      </c>
      <c r="C59" s="3">
        <v>0.28999999999999998</v>
      </c>
    </row>
    <row r="60" spans="1:3">
      <c r="A60" s="6" t="s">
        <v>62</v>
      </c>
      <c r="B60" s="3">
        <v>94.92</v>
      </c>
      <c r="C60" s="3">
        <v>89.92</v>
      </c>
    </row>
    <row r="61" spans="1:3">
      <c r="A61" s="6" t="s">
        <v>63</v>
      </c>
      <c r="B61" s="3">
        <v>1389.79</v>
      </c>
      <c r="C61" s="3">
        <v>2062.69</v>
      </c>
    </row>
    <row r="62" spans="1:3">
      <c r="A62" s="6" t="s">
        <v>64</v>
      </c>
      <c r="B62" s="3">
        <v>856.24</v>
      </c>
      <c r="C62" s="3">
        <v>871.41</v>
      </c>
    </row>
    <row r="63" spans="1:3">
      <c r="A63" s="6" t="s">
        <v>65</v>
      </c>
      <c r="B63" s="3">
        <v>1143.58</v>
      </c>
      <c r="C63" s="3">
        <v>677.24</v>
      </c>
    </row>
    <row r="64" spans="1:3">
      <c r="A64" s="6" t="s">
        <v>66</v>
      </c>
      <c r="B64" s="3">
        <v>347</v>
      </c>
      <c r="C64" s="3">
        <v>381.67</v>
      </c>
    </row>
    <row r="65" spans="1:3">
      <c r="A65" s="6" t="s">
        <v>67</v>
      </c>
      <c r="B65" s="3">
        <v>2.5299999999999998</v>
      </c>
      <c r="C65" s="3">
        <v>6.59</v>
      </c>
    </row>
    <row r="66" spans="1:3">
      <c r="A66" s="6" t="s">
        <v>68</v>
      </c>
      <c r="B66" s="3">
        <v>459.21</v>
      </c>
      <c r="C66" s="3">
        <v>316.69</v>
      </c>
    </row>
    <row r="67" spans="1:3">
      <c r="A67" s="6" t="s">
        <v>69</v>
      </c>
      <c r="B67" s="3">
        <v>3520.62</v>
      </c>
      <c r="C67" s="3">
        <v>3411.36</v>
      </c>
    </row>
    <row r="68" spans="1:3">
      <c r="A68" s="6" t="s">
        <v>70</v>
      </c>
      <c r="B68" s="3">
        <v>128.91</v>
      </c>
      <c r="C68" s="3">
        <v>149.09</v>
      </c>
    </row>
    <row r="69" spans="1:3">
      <c r="A69" s="6" t="s">
        <v>71</v>
      </c>
      <c r="B69" s="3">
        <v>26.79</v>
      </c>
      <c r="C69" s="3">
        <v>19.18</v>
      </c>
    </row>
    <row r="70" spans="1:3">
      <c r="A70" s="6" t="s">
        <v>72</v>
      </c>
      <c r="B70" s="3">
        <v>10.050000000000001</v>
      </c>
      <c r="C70" s="3">
        <v>19</v>
      </c>
    </row>
    <row r="71" spans="1:3">
      <c r="A71" s="6" t="s">
        <v>73</v>
      </c>
      <c r="B71" s="3">
        <v>77.290000000000006</v>
      </c>
      <c r="C71" s="3">
        <v>69.66</v>
      </c>
    </row>
    <row r="72" spans="1:3">
      <c r="A72" s="6" t="s">
        <v>74</v>
      </c>
      <c r="B72" s="3">
        <v>489.59</v>
      </c>
      <c r="C72" s="3">
        <v>476.81</v>
      </c>
    </row>
    <row r="73" spans="1:3">
      <c r="A73" s="6" t="s">
        <v>75</v>
      </c>
      <c r="B73" s="3">
        <v>0</v>
      </c>
      <c r="C73" s="3">
        <v>0.01</v>
      </c>
    </row>
    <row r="74" spans="1:3">
      <c r="A74" s="6" t="s">
        <v>76</v>
      </c>
      <c r="B74" s="3">
        <v>5.94</v>
      </c>
      <c r="C74" s="3">
        <v>12.67</v>
      </c>
    </row>
    <row r="75" spans="1:3">
      <c r="A75" s="6" t="s">
        <v>77</v>
      </c>
      <c r="B75" s="3">
        <v>76.28</v>
      </c>
      <c r="C75" s="3">
        <v>84.67</v>
      </c>
    </row>
    <row r="76" spans="1:3">
      <c r="A76" s="6" t="s">
        <v>78</v>
      </c>
      <c r="B76" s="3">
        <v>582.52</v>
      </c>
      <c r="C76" s="3">
        <v>471.82</v>
      </c>
    </row>
    <row r="77" spans="1:3">
      <c r="A77" s="6" t="s">
        <v>79</v>
      </c>
      <c r="B77" s="3">
        <v>1.47</v>
      </c>
      <c r="C77" s="3">
        <v>1.51</v>
      </c>
    </row>
    <row r="78" spans="1:3">
      <c r="A78" s="6" t="s">
        <v>80</v>
      </c>
      <c r="B78" s="3">
        <v>12</v>
      </c>
      <c r="C78" s="3">
        <v>12.52</v>
      </c>
    </row>
    <row r="79" spans="1:3">
      <c r="A79" s="6" t="s">
        <v>81</v>
      </c>
      <c r="B79" s="3">
        <v>7141.09</v>
      </c>
      <c r="C79" s="3">
        <v>7960.06</v>
      </c>
    </row>
    <row r="80" spans="1:3">
      <c r="A80" s="6" t="s">
        <v>82</v>
      </c>
      <c r="B80" s="3">
        <v>72.67</v>
      </c>
      <c r="C80" s="3">
        <v>94.12</v>
      </c>
    </row>
    <row r="81" spans="1:3">
      <c r="A81" s="6" t="s">
        <v>83</v>
      </c>
      <c r="B81" s="3">
        <v>175.95</v>
      </c>
      <c r="C81" s="3">
        <v>116.16</v>
      </c>
    </row>
    <row r="82" spans="1:3">
      <c r="A82" s="6" t="s">
        <v>84</v>
      </c>
      <c r="B82" s="3">
        <v>197.49</v>
      </c>
      <c r="C82" s="3">
        <v>288.98</v>
      </c>
    </row>
    <row r="83" spans="1:3">
      <c r="A83" s="6" t="s">
        <v>85</v>
      </c>
      <c r="B83" s="3">
        <v>9839.6299999999992</v>
      </c>
      <c r="C83" s="3">
        <v>10628.61</v>
      </c>
    </row>
    <row r="84" spans="1:3">
      <c r="A84" s="6" t="s">
        <v>86</v>
      </c>
      <c r="B84" s="3">
        <v>1098.8800000000001</v>
      </c>
      <c r="C84" s="3">
        <v>1346.75</v>
      </c>
    </row>
    <row r="85" spans="1:3">
      <c r="A85" s="6" t="s">
        <v>87</v>
      </c>
      <c r="B85" s="3">
        <v>829.43</v>
      </c>
      <c r="C85" s="3">
        <v>26.67</v>
      </c>
    </row>
    <row r="86" spans="1:3">
      <c r="A86" s="6" t="s">
        <v>88</v>
      </c>
      <c r="B86" s="3">
        <v>1055.17</v>
      </c>
      <c r="C86" s="3">
        <v>1056.17</v>
      </c>
    </row>
    <row r="87" spans="1:3">
      <c r="A87" s="6" t="s">
        <v>89</v>
      </c>
      <c r="B87" s="3">
        <v>0.23</v>
      </c>
      <c r="C87" s="3">
        <v>0.03</v>
      </c>
    </row>
    <row r="88" spans="1:3">
      <c r="A88" s="6" t="s">
        <v>90</v>
      </c>
      <c r="B88" s="3">
        <v>4.4000000000000004</v>
      </c>
      <c r="C88" s="3">
        <v>4.45</v>
      </c>
    </row>
    <row r="89" spans="1:3">
      <c r="A89" s="6" t="s">
        <v>91</v>
      </c>
      <c r="B89" s="3">
        <v>4.6100000000000003</v>
      </c>
      <c r="C89" s="3">
        <v>5.29</v>
      </c>
    </row>
    <row r="90" spans="1:3">
      <c r="A90" s="6" t="s">
        <v>92</v>
      </c>
      <c r="B90" s="3">
        <v>0.85</v>
      </c>
      <c r="C90" s="3">
        <v>1.21</v>
      </c>
    </row>
    <row r="91" spans="1:3">
      <c r="A91" s="6" t="s">
        <v>93</v>
      </c>
      <c r="B91" s="3">
        <v>559.04999999999995</v>
      </c>
      <c r="C91" s="3">
        <v>633.92999999999995</v>
      </c>
    </row>
    <row r="92" spans="1:3">
      <c r="A92" s="6" t="s">
        <v>94</v>
      </c>
      <c r="B92" s="3">
        <v>0</v>
      </c>
      <c r="C92" s="3">
        <v>0</v>
      </c>
    </row>
    <row r="93" spans="1:3">
      <c r="A93" s="6" t="s">
        <v>95</v>
      </c>
      <c r="B93" s="3">
        <v>696.48</v>
      </c>
      <c r="C93" s="3">
        <v>901.08</v>
      </c>
    </row>
    <row r="94" spans="1:3">
      <c r="A94" s="6" t="s">
        <v>96</v>
      </c>
      <c r="B94" s="3">
        <v>6.98</v>
      </c>
      <c r="C94" s="3">
        <v>22.42</v>
      </c>
    </row>
    <row r="95" spans="1:3">
      <c r="A95" s="6" t="s">
        <v>97</v>
      </c>
      <c r="B95" s="3">
        <v>99.36</v>
      </c>
      <c r="C95" s="3">
        <v>92.59</v>
      </c>
    </row>
    <row r="96" spans="1:3">
      <c r="A96" s="6" t="s">
        <v>98</v>
      </c>
      <c r="B96" s="3">
        <v>105.54</v>
      </c>
      <c r="C96" s="3">
        <v>89.03</v>
      </c>
    </row>
    <row r="97" spans="1:3">
      <c r="A97" s="6" t="s">
        <v>99</v>
      </c>
      <c r="B97" s="3">
        <v>265.93</v>
      </c>
      <c r="C97" s="3">
        <v>274.47000000000003</v>
      </c>
    </row>
    <row r="98" spans="1:3">
      <c r="A98" s="6" t="s">
        <v>100</v>
      </c>
      <c r="B98" s="3">
        <v>8243.93</v>
      </c>
      <c r="C98" s="3">
        <v>6066.71</v>
      </c>
    </row>
    <row r="99" spans="1:3">
      <c r="A99" s="6" t="s">
        <v>101</v>
      </c>
      <c r="B99" s="3">
        <v>561.46</v>
      </c>
      <c r="C99" s="3">
        <v>533.65</v>
      </c>
    </row>
    <row r="100" spans="1:3">
      <c r="A100" s="6" t="s">
        <v>102</v>
      </c>
      <c r="B100" s="3">
        <v>12.16</v>
      </c>
      <c r="C100" s="3">
        <v>66.010000000000005</v>
      </c>
    </row>
    <row r="101" spans="1:3">
      <c r="A101" s="6" t="s">
        <v>103</v>
      </c>
      <c r="B101" s="3">
        <v>5988.88</v>
      </c>
      <c r="C101" s="3">
        <v>5380.18</v>
      </c>
    </row>
    <row r="102" spans="1:3">
      <c r="A102" s="6" t="s">
        <v>104</v>
      </c>
      <c r="B102" s="3">
        <v>0</v>
      </c>
      <c r="C102" s="3">
        <v>0</v>
      </c>
    </row>
    <row r="103" spans="1:3">
      <c r="A103" s="6" t="s">
        <v>105</v>
      </c>
      <c r="B103" s="3">
        <v>1222.26</v>
      </c>
      <c r="C103" s="3">
        <v>1241.1500000000001</v>
      </c>
    </row>
    <row r="104" spans="1:3">
      <c r="A104" s="6" t="s">
        <v>106</v>
      </c>
      <c r="B104" s="3">
        <v>3354.73</v>
      </c>
      <c r="C104" s="3">
        <v>3272.52</v>
      </c>
    </row>
    <row r="105" spans="1:3">
      <c r="A105" s="6" t="s">
        <v>107</v>
      </c>
      <c r="B105" s="3">
        <v>702.73</v>
      </c>
      <c r="C105" s="3">
        <v>864.67</v>
      </c>
    </row>
    <row r="106" spans="1:3">
      <c r="A106" s="6" t="s">
        <v>108</v>
      </c>
      <c r="B106" s="3">
        <v>4525.92</v>
      </c>
      <c r="C106" s="3">
        <v>2145.0100000000002</v>
      </c>
    </row>
    <row r="107" spans="1:3">
      <c r="A107" s="6" t="s">
        <v>109</v>
      </c>
      <c r="B107" s="3">
        <v>8765.7800000000007</v>
      </c>
      <c r="C107" s="3">
        <v>7727.33</v>
      </c>
    </row>
    <row r="108" spans="1:3">
      <c r="A108" s="6" t="s">
        <v>110</v>
      </c>
      <c r="B108" s="3">
        <v>109.15</v>
      </c>
      <c r="C108" s="3">
        <v>93.01</v>
      </c>
    </row>
    <row r="109" spans="1:3">
      <c r="A109" s="6" t="s">
        <v>111</v>
      </c>
      <c r="B109" s="3">
        <v>5156.28</v>
      </c>
      <c r="C109" s="3">
        <v>6249.32</v>
      </c>
    </row>
    <row r="110" spans="1:3">
      <c r="A110" s="6" t="s">
        <v>112</v>
      </c>
      <c r="B110" s="3">
        <v>0</v>
      </c>
      <c r="C110" s="3">
        <v>0</v>
      </c>
    </row>
    <row r="111" spans="1:3">
      <c r="A111" s="6" t="s">
        <v>113</v>
      </c>
      <c r="B111" s="3">
        <v>1465.26</v>
      </c>
      <c r="C111" s="3">
        <v>755.14</v>
      </c>
    </row>
    <row r="112" spans="1:3">
      <c r="A112" s="6" t="s">
        <v>114</v>
      </c>
      <c r="B112" s="3">
        <v>236.56</v>
      </c>
      <c r="C112" s="3">
        <v>262.98</v>
      </c>
    </row>
    <row r="113" spans="1:3">
      <c r="A113" s="6" t="s">
        <v>115</v>
      </c>
      <c r="B113" s="3">
        <v>3174.83</v>
      </c>
      <c r="C113" s="3">
        <v>3134.05</v>
      </c>
    </row>
    <row r="114" spans="1:3">
      <c r="A114" s="6" t="s">
        <v>116</v>
      </c>
      <c r="B114" s="3">
        <v>1.04</v>
      </c>
      <c r="C114" s="3">
        <v>3.89</v>
      </c>
    </row>
    <row r="115" spans="1:3">
      <c r="A115" s="6" t="s">
        <v>117</v>
      </c>
      <c r="B115" s="3">
        <v>2.04</v>
      </c>
      <c r="C115" s="3">
        <v>2.61</v>
      </c>
    </row>
    <row r="116" spans="1:3">
      <c r="A116" s="6" t="s">
        <v>118</v>
      </c>
      <c r="B116" s="3">
        <v>6416.67</v>
      </c>
      <c r="C116" s="3">
        <v>5819.64</v>
      </c>
    </row>
    <row r="117" spans="1:3">
      <c r="A117" s="6" t="s">
        <v>119</v>
      </c>
      <c r="B117" s="3">
        <v>2103.2199999999998</v>
      </c>
      <c r="C117" s="3">
        <v>1934.81</v>
      </c>
    </row>
    <row r="118" spans="1:3">
      <c r="A118" s="6" t="s">
        <v>120</v>
      </c>
      <c r="B118" s="3">
        <v>45.72</v>
      </c>
      <c r="C118" s="3">
        <v>46.26</v>
      </c>
    </row>
    <row r="119" spans="1:3">
      <c r="A119" s="6" t="s">
        <v>121</v>
      </c>
      <c r="B119" s="3">
        <v>12.88</v>
      </c>
      <c r="C119" s="3">
        <v>12.52</v>
      </c>
    </row>
    <row r="120" spans="1:3">
      <c r="A120" s="6" t="s">
        <v>122</v>
      </c>
      <c r="B120" s="3">
        <v>220.49</v>
      </c>
      <c r="C120" s="3">
        <v>235.94</v>
      </c>
    </row>
    <row r="121" spans="1:3">
      <c r="A121" s="6" t="s">
        <v>123</v>
      </c>
      <c r="B121" s="3">
        <v>344.91</v>
      </c>
      <c r="C121" s="3">
        <v>337.05</v>
      </c>
    </row>
    <row r="122" spans="1:3">
      <c r="A122" s="6" t="s">
        <v>124</v>
      </c>
      <c r="B122" s="3">
        <v>5.55</v>
      </c>
      <c r="C122" s="3">
        <v>10.3</v>
      </c>
    </row>
    <row r="123" spans="1:3">
      <c r="A123" s="6" t="s">
        <v>125</v>
      </c>
      <c r="B123" s="3">
        <v>243.29</v>
      </c>
      <c r="C123" s="3">
        <v>376.33</v>
      </c>
    </row>
    <row r="124" spans="1:3">
      <c r="A124" s="6" t="s">
        <v>126</v>
      </c>
      <c r="B124" s="3">
        <v>565.12</v>
      </c>
      <c r="C124" s="3">
        <v>650.37</v>
      </c>
    </row>
    <row r="125" spans="1:3">
      <c r="A125" s="6" t="s">
        <v>127</v>
      </c>
      <c r="B125" s="3">
        <v>0.88</v>
      </c>
      <c r="C125" s="3">
        <v>0.41</v>
      </c>
    </row>
    <row r="126" spans="1:3">
      <c r="A126" s="6" t="s">
        <v>128</v>
      </c>
      <c r="B126" s="3">
        <v>314.42</v>
      </c>
      <c r="C126" s="3">
        <v>258.06</v>
      </c>
    </row>
    <row r="127" spans="1:3">
      <c r="A127" s="6" t="s">
        <v>129</v>
      </c>
      <c r="B127" s="3">
        <v>39.65</v>
      </c>
      <c r="C127" s="3">
        <v>49.9</v>
      </c>
    </row>
    <row r="128" spans="1:3">
      <c r="A128" s="6" t="s">
        <v>130</v>
      </c>
      <c r="B128" s="3">
        <v>0.96</v>
      </c>
      <c r="C128" s="3">
        <v>1.42</v>
      </c>
    </row>
    <row r="129" spans="1:3">
      <c r="A129" s="6" t="s">
        <v>131</v>
      </c>
      <c r="B129" s="3">
        <v>36.64</v>
      </c>
      <c r="C129" s="3">
        <v>33.729999999999997</v>
      </c>
    </row>
    <row r="130" spans="1:3">
      <c r="A130" s="6" t="s">
        <v>132</v>
      </c>
      <c r="B130" s="3">
        <v>231.91</v>
      </c>
      <c r="C130" s="3">
        <v>268.8</v>
      </c>
    </row>
    <row r="131" spans="1:3">
      <c r="A131" s="6" t="s">
        <v>133</v>
      </c>
      <c r="B131" s="3">
        <v>87.18</v>
      </c>
      <c r="C131" s="3">
        <v>94.56</v>
      </c>
    </row>
    <row r="132" spans="1:3">
      <c r="A132" s="6" t="s">
        <v>134</v>
      </c>
      <c r="B132" s="3">
        <v>7262.15</v>
      </c>
      <c r="C132" s="3">
        <v>7316.85</v>
      </c>
    </row>
    <row r="133" spans="1:3">
      <c r="A133" s="6" t="s">
        <v>135</v>
      </c>
      <c r="B133" s="3">
        <v>891.89</v>
      </c>
      <c r="C133" s="3">
        <v>560.88</v>
      </c>
    </row>
    <row r="134" spans="1:3">
      <c r="A134" s="6" t="s">
        <v>136</v>
      </c>
      <c r="B134" s="3">
        <v>119.62</v>
      </c>
      <c r="C134" s="3">
        <v>128.08000000000001</v>
      </c>
    </row>
    <row r="135" spans="1:3">
      <c r="A135" s="6" t="s">
        <v>137</v>
      </c>
      <c r="B135" s="3">
        <v>496.11</v>
      </c>
      <c r="C135" s="3">
        <v>351.09</v>
      </c>
    </row>
    <row r="136" spans="1:3">
      <c r="A136" s="6" t="s">
        <v>138</v>
      </c>
      <c r="B136" s="3">
        <v>2.19</v>
      </c>
      <c r="C136" s="3">
        <v>2.84</v>
      </c>
    </row>
    <row r="137" spans="1:3">
      <c r="A137" s="6" t="s">
        <v>139</v>
      </c>
      <c r="B137" s="3">
        <v>4.59</v>
      </c>
      <c r="C137" s="3">
        <v>4.83</v>
      </c>
    </row>
    <row r="138" spans="1:3">
      <c r="A138" s="6" t="s">
        <v>140</v>
      </c>
      <c r="B138" s="3">
        <v>96.38</v>
      </c>
      <c r="C138" s="3">
        <v>114.83</v>
      </c>
    </row>
    <row r="139" spans="1:3">
      <c r="A139" s="6" t="s">
        <v>141</v>
      </c>
      <c r="B139" s="3">
        <v>778.03</v>
      </c>
      <c r="C139" s="3">
        <v>676.49</v>
      </c>
    </row>
    <row r="140" spans="1:3">
      <c r="A140" s="6" t="s">
        <v>142</v>
      </c>
      <c r="B140" s="3">
        <v>7.57</v>
      </c>
      <c r="C140" s="3">
        <v>7.56</v>
      </c>
    </row>
    <row r="141" spans="1:3">
      <c r="A141" s="6" t="s">
        <v>143</v>
      </c>
      <c r="B141" s="3">
        <v>5324.23</v>
      </c>
      <c r="C141" s="3">
        <v>5749.01</v>
      </c>
    </row>
    <row r="142" spans="1:3">
      <c r="A142" s="6" t="s">
        <v>144</v>
      </c>
      <c r="B142" s="3">
        <v>0.62</v>
      </c>
      <c r="C142" s="3">
        <v>0.81</v>
      </c>
    </row>
    <row r="143" spans="1:3">
      <c r="A143" s="6" t="s">
        <v>145</v>
      </c>
      <c r="B143" s="3">
        <v>12.51</v>
      </c>
      <c r="C143" s="3">
        <v>10.39</v>
      </c>
    </row>
    <row r="144" spans="1:3">
      <c r="A144" s="6" t="s">
        <v>146</v>
      </c>
      <c r="B144" s="3">
        <v>2.36</v>
      </c>
      <c r="C144" s="3">
        <v>6.97</v>
      </c>
    </row>
    <row r="145" spans="1:3">
      <c r="A145" s="6" t="s">
        <v>147</v>
      </c>
      <c r="B145" s="3">
        <v>33.15</v>
      </c>
      <c r="C145" s="3">
        <v>26.46</v>
      </c>
    </row>
    <row r="146" spans="1:3">
      <c r="A146" s="6" t="s">
        <v>148</v>
      </c>
      <c r="B146" s="3">
        <v>34.909999999999997</v>
      </c>
      <c r="C146" s="3">
        <v>124.67</v>
      </c>
    </row>
    <row r="147" spans="1:3">
      <c r="A147" s="6" t="s">
        <v>149</v>
      </c>
      <c r="B147" s="3">
        <v>0.12</v>
      </c>
      <c r="C147" s="3">
        <v>0.12</v>
      </c>
    </row>
    <row r="148" spans="1:3">
      <c r="A148" s="6" t="s">
        <v>150</v>
      </c>
      <c r="B148" s="3">
        <v>1032.58</v>
      </c>
      <c r="C148" s="3">
        <v>967.05</v>
      </c>
    </row>
    <row r="149" spans="1:3">
      <c r="A149" s="6" t="s">
        <v>151</v>
      </c>
      <c r="B149" s="3">
        <v>1996</v>
      </c>
      <c r="C149" s="3">
        <v>1323.39</v>
      </c>
    </row>
    <row r="150" spans="1:3">
      <c r="A150" s="6" t="s">
        <v>152</v>
      </c>
      <c r="B150" s="3">
        <v>670.37</v>
      </c>
      <c r="C150" s="3">
        <v>614.29999999999995</v>
      </c>
    </row>
    <row r="151" spans="1:3">
      <c r="A151" s="6" t="s">
        <v>153</v>
      </c>
      <c r="B151" s="3">
        <v>0.31</v>
      </c>
      <c r="C151" s="3">
        <v>0.1</v>
      </c>
    </row>
    <row r="152" spans="1:3">
      <c r="A152" s="6" t="s">
        <v>154</v>
      </c>
      <c r="B152" s="3">
        <v>453.48</v>
      </c>
      <c r="C152" s="3">
        <v>327.20999999999998</v>
      </c>
    </row>
    <row r="153" spans="1:3">
      <c r="A153" s="6" t="s">
        <v>155</v>
      </c>
      <c r="B153" s="3">
        <v>0.09</v>
      </c>
      <c r="C153" s="3">
        <v>0.04</v>
      </c>
    </row>
    <row r="154" spans="1:3">
      <c r="A154" s="6" t="s">
        <v>156</v>
      </c>
      <c r="B154" s="3">
        <v>7040.98</v>
      </c>
      <c r="C154" s="3">
        <v>7385.98</v>
      </c>
    </row>
    <row r="155" spans="1:3">
      <c r="A155" s="6" t="s">
        <v>157</v>
      </c>
      <c r="B155" s="3">
        <v>22366.86</v>
      </c>
      <c r="C155" s="3">
        <v>22763.41</v>
      </c>
    </row>
    <row r="156" spans="1:3">
      <c r="A156" s="6" t="s">
        <v>158</v>
      </c>
      <c r="B156" s="3">
        <v>21.43</v>
      </c>
      <c r="C156" s="3">
        <v>21.68</v>
      </c>
    </row>
    <row r="157" spans="1:3">
      <c r="A157" s="6" t="s">
        <v>159</v>
      </c>
      <c r="B157" s="3">
        <v>15.4</v>
      </c>
      <c r="C157" s="3">
        <v>5.82</v>
      </c>
    </row>
    <row r="158" spans="1:3">
      <c r="A158" s="6" t="s">
        <v>160</v>
      </c>
      <c r="B158" s="3">
        <v>538.33000000000004</v>
      </c>
      <c r="C158" s="3">
        <v>711.1</v>
      </c>
    </row>
    <row r="159" spans="1:3">
      <c r="A159" s="6" t="s">
        <v>161</v>
      </c>
      <c r="B159" s="3">
        <v>132.31</v>
      </c>
      <c r="C159" s="3">
        <v>159.33000000000001</v>
      </c>
    </row>
    <row r="160" spans="1:3">
      <c r="A160" s="6" t="s">
        <v>162</v>
      </c>
      <c r="B160" s="3">
        <v>47.22</v>
      </c>
      <c r="C160" s="3">
        <v>72.680000000000007</v>
      </c>
    </row>
    <row r="161" spans="1:3">
      <c r="A161" s="6" t="s">
        <v>163</v>
      </c>
      <c r="B161" s="3">
        <v>3626.4</v>
      </c>
      <c r="C161" s="3">
        <v>2945.5</v>
      </c>
    </row>
    <row r="162" spans="1:3">
      <c r="A162" s="6" t="s">
        <v>164</v>
      </c>
      <c r="B162" s="3">
        <v>0.02</v>
      </c>
      <c r="C162" s="3">
        <v>0.8</v>
      </c>
    </row>
    <row r="163" spans="1:3">
      <c r="A163" s="6" t="s">
        <v>165</v>
      </c>
      <c r="B163" s="3">
        <v>403.08</v>
      </c>
      <c r="C163" s="3">
        <v>425.01</v>
      </c>
    </row>
    <row r="164" spans="1:3">
      <c r="A164" s="6" t="s">
        <v>166</v>
      </c>
      <c r="B164" s="3">
        <v>4426.47</v>
      </c>
      <c r="C164" s="3">
        <v>4065.35</v>
      </c>
    </row>
    <row r="165" spans="1:3">
      <c r="A165" s="6" t="s">
        <v>167</v>
      </c>
      <c r="B165" s="3">
        <v>1188.8499999999999</v>
      </c>
      <c r="C165" s="3">
        <v>557.78</v>
      </c>
    </row>
    <row r="166" spans="1:3">
      <c r="A166" s="6" t="s">
        <v>168</v>
      </c>
      <c r="B166" s="3">
        <v>0.15</v>
      </c>
      <c r="C166" s="3">
        <v>0.24</v>
      </c>
    </row>
    <row r="167" spans="1:3">
      <c r="A167" s="6" t="s">
        <v>169</v>
      </c>
      <c r="B167" s="3">
        <v>296.52999999999997</v>
      </c>
      <c r="C167" s="3">
        <v>287.43</v>
      </c>
    </row>
    <row r="168" spans="1:3">
      <c r="A168" s="6" t="s">
        <v>170</v>
      </c>
      <c r="B168" s="3">
        <v>70.06</v>
      </c>
      <c r="C168" s="3">
        <v>70.38</v>
      </c>
    </row>
    <row r="169" spans="1:3">
      <c r="A169" s="6" t="s">
        <v>171</v>
      </c>
      <c r="B169" s="3">
        <v>212.25</v>
      </c>
      <c r="C169" s="3">
        <v>180.47</v>
      </c>
    </row>
    <row r="170" spans="1:3">
      <c r="A170" s="6" t="s">
        <v>172</v>
      </c>
      <c r="B170" s="3">
        <v>920.09</v>
      </c>
      <c r="C170" s="3">
        <v>1002.26</v>
      </c>
    </row>
    <row r="171" spans="1:3">
      <c r="A171" s="6" t="s">
        <v>173</v>
      </c>
      <c r="B171" s="3">
        <v>2097.17</v>
      </c>
      <c r="C171" s="3">
        <v>2162.4299999999998</v>
      </c>
    </row>
    <row r="172" spans="1:3">
      <c r="A172" s="6" t="s">
        <v>174</v>
      </c>
      <c r="B172" s="3">
        <v>0</v>
      </c>
      <c r="C172" s="3">
        <v>0</v>
      </c>
    </row>
    <row r="173" spans="1:3">
      <c r="A173" s="6" t="s">
        <v>175</v>
      </c>
      <c r="B173" s="3">
        <v>2436.27</v>
      </c>
      <c r="C173" s="3">
        <v>2618.61</v>
      </c>
    </row>
    <row r="174" spans="1:3">
      <c r="A174" s="6" t="s">
        <v>176</v>
      </c>
      <c r="B174" s="3">
        <v>1183.8</v>
      </c>
      <c r="C174" s="3">
        <v>920.25</v>
      </c>
    </row>
    <row r="175" spans="1:3">
      <c r="A175" s="6" t="s">
        <v>177</v>
      </c>
      <c r="B175" s="3">
        <v>140.53</v>
      </c>
      <c r="C175" s="3">
        <v>135.05000000000001</v>
      </c>
    </row>
    <row r="176" spans="1:3">
      <c r="A176" s="6" t="s">
        <v>178</v>
      </c>
      <c r="B176" s="3">
        <v>1700.01</v>
      </c>
      <c r="C176" s="3">
        <v>1682.48</v>
      </c>
    </row>
    <row r="177" spans="1:3">
      <c r="A177" s="6" t="s">
        <v>179</v>
      </c>
      <c r="B177" s="3">
        <v>45.33</v>
      </c>
      <c r="C177" s="3">
        <v>49.04</v>
      </c>
    </row>
    <row r="178" spans="1:3">
      <c r="A178" s="6" t="s">
        <v>180</v>
      </c>
      <c r="B178" s="3">
        <v>1778.05</v>
      </c>
      <c r="C178" s="3">
        <v>1036.01</v>
      </c>
    </row>
    <row r="179" spans="1:3">
      <c r="A179" s="6" t="s">
        <v>181</v>
      </c>
      <c r="B179" s="3">
        <v>4261.3100000000004</v>
      </c>
      <c r="C179" s="3">
        <v>4881.3</v>
      </c>
    </row>
    <row r="180" spans="1:3">
      <c r="A180" s="6" t="s">
        <v>182</v>
      </c>
      <c r="B180" s="3">
        <v>133.5</v>
      </c>
      <c r="C180" s="3">
        <v>98.74</v>
      </c>
    </row>
    <row r="181" spans="1:3">
      <c r="A181" s="6" t="s">
        <v>183</v>
      </c>
      <c r="B181" s="3">
        <v>7.0000000000000007E-2</v>
      </c>
      <c r="C181" s="3">
        <v>0.03</v>
      </c>
    </row>
    <row r="182" spans="1:3">
      <c r="A182" s="6" t="s">
        <v>184</v>
      </c>
      <c r="B182" s="3">
        <v>1.92</v>
      </c>
      <c r="C182" s="3">
        <v>1.71</v>
      </c>
    </row>
    <row r="183" spans="1:3">
      <c r="A183" s="6" t="s">
        <v>185</v>
      </c>
      <c r="B183" s="3">
        <v>0.52</v>
      </c>
      <c r="C183" s="3">
        <v>3.57</v>
      </c>
    </row>
    <row r="184" spans="1:3">
      <c r="A184" s="6" t="s">
        <v>186</v>
      </c>
      <c r="B184" s="3">
        <v>1.53</v>
      </c>
      <c r="C184" s="3">
        <v>1.47</v>
      </c>
    </row>
    <row r="185" spans="1:3">
      <c r="A185" s="6" t="s">
        <v>187</v>
      </c>
      <c r="B185" s="3">
        <v>11558.57</v>
      </c>
      <c r="C185" s="3">
        <v>11756.65</v>
      </c>
    </row>
    <row r="186" spans="1:3">
      <c r="A186" s="6" t="s">
        <v>188</v>
      </c>
      <c r="B186" s="3">
        <v>938.57</v>
      </c>
      <c r="C186" s="3">
        <v>1001.1</v>
      </c>
    </row>
    <row r="187" spans="1:3">
      <c r="A187" s="6" t="s">
        <v>189</v>
      </c>
      <c r="B187" s="3">
        <v>106.91</v>
      </c>
      <c r="C187" s="3">
        <v>100</v>
      </c>
    </row>
    <row r="188" spans="1:3">
      <c r="A188" s="6" t="s">
        <v>190</v>
      </c>
      <c r="B188" s="3">
        <v>76.19</v>
      </c>
      <c r="C188" s="3">
        <v>196.03</v>
      </c>
    </row>
    <row r="189" spans="1:3">
      <c r="A189" s="6" t="s">
        <v>191</v>
      </c>
      <c r="B189" s="3">
        <v>267.86</v>
      </c>
      <c r="C189" s="3">
        <v>385.47</v>
      </c>
    </row>
    <row r="190" spans="1:3">
      <c r="A190" s="6" t="s">
        <v>192</v>
      </c>
      <c r="B190" s="3">
        <v>14414.27</v>
      </c>
      <c r="C190" s="3">
        <v>12976.15</v>
      </c>
    </row>
    <row r="191" spans="1:3">
      <c r="A191" s="6" t="s">
        <v>193</v>
      </c>
      <c r="B191" s="3">
        <v>0.45</v>
      </c>
      <c r="C191" s="3">
        <v>0.68</v>
      </c>
    </row>
    <row r="192" spans="1:3">
      <c r="A192" s="6" t="s">
        <v>194</v>
      </c>
      <c r="B192" s="3">
        <v>193.03</v>
      </c>
      <c r="C192" s="3">
        <v>380.38</v>
      </c>
    </row>
    <row r="193" spans="1:3">
      <c r="A193" s="6" t="s">
        <v>195</v>
      </c>
      <c r="B193" s="3">
        <v>586.97</v>
      </c>
      <c r="C193" s="3">
        <v>586.74</v>
      </c>
    </row>
    <row r="194" spans="1:3">
      <c r="A194" s="6" t="s">
        <v>196</v>
      </c>
      <c r="B194" s="3">
        <v>2.99</v>
      </c>
      <c r="C194" s="3">
        <v>2.56</v>
      </c>
    </row>
    <row r="195" spans="1:3">
      <c r="A195" s="6" t="s">
        <v>197</v>
      </c>
      <c r="B195" s="3">
        <v>819.58</v>
      </c>
      <c r="C195" s="3">
        <v>765.67</v>
      </c>
    </row>
    <row r="196" spans="1:3">
      <c r="A196" s="6" t="s">
        <v>198</v>
      </c>
      <c r="B196" s="3">
        <v>8707.5300000000007</v>
      </c>
      <c r="C196" s="3">
        <v>7462.28</v>
      </c>
    </row>
    <row r="197" spans="1:3">
      <c r="A197" s="6" t="s">
        <v>199</v>
      </c>
      <c r="B197" s="3">
        <v>41.68</v>
      </c>
      <c r="C197" s="3">
        <v>21.26</v>
      </c>
    </row>
    <row r="198" spans="1:3">
      <c r="A198" s="6" t="s">
        <v>200</v>
      </c>
      <c r="B198" s="3">
        <v>4793.7</v>
      </c>
      <c r="C198" s="3">
        <v>4763.75</v>
      </c>
    </row>
    <row r="199" spans="1:3">
      <c r="A199" s="6" t="s">
        <v>201</v>
      </c>
      <c r="B199" s="3">
        <v>4116.8999999999996</v>
      </c>
      <c r="C199" s="3">
        <v>4550.78</v>
      </c>
    </row>
    <row r="200" spans="1:3">
      <c r="A200" s="6" t="s">
        <v>202</v>
      </c>
      <c r="B200" s="3">
        <v>0</v>
      </c>
      <c r="C200" s="3">
        <v>0.13</v>
      </c>
    </row>
    <row r="201" spans="1:3">
      <c r="A201" s="6" t="s">
        <v>203</v>
      </c>
      <c r="B201" s="3">
        <v>4.99</v>
      </c>
      <c r="C201" s="3">
        <v>2.73</v>
      </c>
    </row>
    <row r="202" spans="1:3">
      <c r="A202" s="6" t="s">
        <v>204</v>
      </c>
      <c r="B202" s="3">
        <v>7.26</v>
      </c>
      <c r="C202" s="3">
        <v>10.23</v>
      </c>
    </row>
    <row r="203" spans="1:3">
      <c r="A203" s="6" t="s">
        <v>205</v>
      </c>
      <c r="B203" s="3">
        <v>2.38</v>
      </c>
      <c r="C203" s="3">
        <v>3.28</v>
      </c>
    </row>
    <row r="204" spans="1:3">
      <c r="A204" s="6" t="s">
        <v>206</v>
      </c>
      <c r="B204" s="3">
        <v>0.65</v>
      </c>
      <c r="C204" s="3">
        <v>0.02</v>
      </c>
    </row>
    <row r="205" spans="1:3">
      <c r="A205" s="6" t="s">
        <v>207</v>
      </c>
      <c r="B205" s="3">
        <v>805.04</v>
      </c>
      <c r="C205" s="3">
        <v>589.03</v>
      </c>
    </row>
    <row r="206" spans="1:3">
      <c r="A206" s="6" t="s">
        <v>208</v>
      </c>
      <c r="B206" s="3">
        <v>29.25</v>
      </c>
      <c r="C206" s="3">
        <v>28.55</v>
      </c>
    </row>
    <row r="207" spans="1:3">
      <c r="A207" s="6" t="s">
        <v>209</v>
      </c>
      <c r="B207" s="3">
        <v>0.11</v>
      </c>
      <c r="C207" s="3">
        <v>0</v>
      </c>
    </row>
    <row r="208" spans="1:3">
      <c r="A208" s="6" t="s">
        <v>210</v>
      </c>
      <c r="B208" s="3">
        <v>24.79</v>
      </c>
      <c r="C208" s="3">
        <v>18.57</v>
      </c>
    </row>
    <row r="209" spans="1:3">
      <c r="A209" s="6" t="s">
        <v>211</v>
      </c>
      <c r="B209" s="3">
        <v>1018.8</v>
      </c>
      <c r="C209" s="3">
        <v>1262.05</v>
      </c>
    </row>
    <row r="210" spans="1:3">
      <c r="A210" s="6" t="s">
        <v>212</v>
      </c>
      <c r="B210" s="3">
        <v>1526.92</v>
      </c>
      <c r="C210" s="3">
        <v>1475.41</v>
      </c>
    </row>
    <row r="211" spans="1:3">
      <c r="A211" s="6" t="s">
        <v>213</v>
      </c>
      <c r="B211" s="3">
        <v>63.2</v>
      </c>
      <c r="C211" s="3">
        <v>63.71</v>
      </c>
    </row>
    <row r="212" spans="1:3">
      <c r="A212" s="6" t="s">
        <v>214</v>
      </c>
      <c r="B212" s="3">
        <v>1840.59</v>
      </c>
      <c r="C212" s="3">
        <v>1781.7</v>
      </c>
    </row>
    <row r="213" spans="1:3">
      <c r="A213" s="6" t="s">
        <v>215</v>
      </c>
      <c r="B213" s="3">
        <v>51.64</v>
      </c>
      <c r="C213" s="3">
        <v>45.68</v>
      </c>
    </row>
    <row r="214" spans="1:3">
      <c r="A214" s="6" t="s">
        <v>216</v>
      </c>
      <c r="B214" s="3">
        <v>4616.62</v>
      </c>
      <c r="C214" s="3">
        <v>4789.6099999999997</v>
      </c>
    </row>
    <row r="215" spans="1:3">
      <c r="A215" s="6" t="s">
        <v>217</v>
      </c>
      <c r="B215" s="3">
        <v>5038.97</v>
      </c>
      <c r="C215" s="3">
        <v>4812.58</v>
      </c>
    </row>
    <row r="216" spans="1:3">
      <c r="A216" s="6" t="s">
        <v>218</v>
      </c>
      <c r="B216" s="3">
        <v>48.02</v>
      </c>
      <c r="C216" s="3">
        <v>38.409999999999997</v>
      </c>
    </row>
    <row r="217" spans="1:3">
      <c r="A217" s="6" t="s">
        <v>219</v>
      </c>
      <c r="B217" s="3">
        <v>3229.01</v>
      </c>
      <c r="C217" s="3">
        <v>2522.0500000000002</v>
      </c>
    </row>
    <row r="218" spans="1:3">
      <c r="A218" s="6" t="s">
        <v>220</v>
      </c>
      <c r="B218" s="3">
        <v>0</v>
      </c>
      <c r="C218" s="3">
        <v>0.05</v>
      </c>
    </row>
    <row r="219" spans="1:3">
      <c r="A219" s="6" t="s">
        <v>221</v>
      </c>
      <c r="B219" s="3">
        <v>1.59</v>
      </c>
      <c r="C219" s="3">
        <v>1.1399999999999999</v>
      </c>
    </row>
    <row r="220" spans="1:3">
      <c r="A220" s="6" t="s">
        <v>222</v>
      </c>
      <c r="B220" s="3">
        <v>109.06</v>
      </c>
      <c r="C220" s="3">
        <v>120.65</v>
      </c>
    </row>
    <row r="221" spans="1:3">
      <c r="A221" s="6" t="s">
        <v>223</v>
      </c>
      <c r="B221" s="3">
        <v>439.2</v>
      </c>
      <c r="C221" s="3">
        <v>377.99</v>
      </c>
    </row>
    <row r="222" spans="1:3">
      <c r="A222" s="6" t="s">
        <v>224</v>
      </c>
      <c r="B222" s="3">
        <v>6654.63</v>
      </c>
      <c r="C222" s="3">
        <v>5716.54</v>
      </c>
    </row>
    <row r="223" spans="1:3">
      <c r="A223" s="6" t="s">
        <v>225</v>
      </c>
      <c r="B223" s="3">
        <v>37.46</v>
      </c>
      <c r="C223" s="3">
        <v>54.16</v>
      </c>
    </row>
    <row r="224" spans="1:3">
      <c r="A224" s="6" t="s">
        <v>226</v>
      </c>
      <c r="B224" s="3">
        <v>1.1100000000000001</v>
      </c>
      <c r="C224" s="3">
        <v>1.72</v>
      </c>
    </row>
    <row r="225" spans="1:3">
      <c r="A225" s="6" t="s">
        <v>227</v>
      </c>
      <c r="B225" s="3">
        <v>0.11</v>
      </c>
      <c r="C225" s="3">
        <v>0.01</v>
      </c>
    </row>
    <row r="226" spans="1:3">
      <c r="A226" s="6" t="s">
        <v>228</v>
      </c>
      <c r="B226" s="3">
        <v>35625.019999999997</v>
      </c>
      <c r="C226" s="3">
        <v>36638.019999999997</v>
      </c>
    </row>
    <row r="227" spans="1:3">
      <c r="A227" s="6" t="s">
        <v>229</v>
      </c>
      <c r="B227" s="3">
        <v>12922.65</v>
      </c>
      <c r="C227" s="3">
        <v>14549.95</v>
      </c>
    </row>
    <row r="228" spans="1:3">
      <c r="A228" s="6" t="s">
        <v>230</v>
      </c>
      <c r="B228" s="3">
        <v>77515.03</v>
      </c>
      <c r="C228" s="3">
        <v>86514.28</v>
      </c>
    </row>
    <row r="229" spans="1:3">
      <c r="A229" s="6" t="s">
        <v>231</v>
      </c>
      <c r="B229" s="3">
        <v>508.14</v>
      </c>
      <c r="C229" s="3">
        <v>451.5</v>
      </c>
    </row>
    <row r="230" spans="1:3">
      <c r="A230" s="6" t="s">
        <v>232</v>
      </c>
      <c r="B230" s="3">
        <v>173.3</v>
      </c>
      <c r="C230" s="3">
        <v>187.4</v>
      </c>
    </row>
    <row r="231" spans="1:3">
      <c r="A231" s="6" t="s">
        <v>233</v>
      </c>
      <c r="B231" s="3">
        <v>0</v>
      </c>
      <c r="C231" s="3">
        <v>0</v>
      </c>
    </row>
    <row r="232" spans="1:3">
      <c r="A232" s="6" t="s">
        <v>234</v>
      </c>
      <c r="B232" s="3">
        <v>2987</v>
      </c>
      <c r="C232" s="3">
        <v>3579.33</v>
      </c>
    </row>
    <row r="233" spans="1:3">
      <c r="A233" s="6" t="s">
        <v>235</v>
      </c>
      <c r="B233" s="3">
        <v>520.83000000000004</v>
      </c>
      <c r="C233" s="3">
        <v>153.29</v>
      </c>
    </row>
    <row r="234" spans="1:3">
      <c r="A234" s="6" t="s">
        <v>236</v>
      </c>
      <c r="B234" s="3">
        <v>0.3</v>
      </c>
      <c r="C234" s="3">
        <v>0.59</v>
      </c>
    </row>
    <row r="235" spans="1:3">
      <c r="A235" s="6" t="s">
        <v>237</v>
      </c>
      <c r="B235" s="3">
        <v>372.56</v>
      </c>
      <c r="C235" s="3">
        <v>517.72</v>
      </c>
    </row>
    <row r="236" spans="1:3">
      <c r="A236" s="6" t="s">
        <v>238</v>
      </c>
      <c r="B236" s="3">
        <v>3.92</v>
      </c>
      <c r="C236" s="3">
        <v>3.75</v>
      </c>
    </row>
    <row r="237" spans="1:3">
      <c r="A237" s="6" t="s">
        <v>239</v>
      </c>
      <c r="B237" s="3">
        <v>0.09</v>
      </c>
      <c r="C237" s="3">
        <v>0</v>
      </c>
    </row>
    <row r="238" spans="1:3">
      <c r="A238" s="6" t="s">
        <v>240</v>
      </c>
      <c r="B238" s="3">
        <v>175.33</v>
      </c>
      <c r="C238" s="3">
        <v>216.99</v>
      </c>
    </row>
    <row r="239" spans="1:3">
      <c r="A239" s="6" t="s">
        <v>241</v>
      </c>
      <c r="B239" s="3">
        <v>5470.15</v>
      </c>
      <c r="C239" s="3">
        <v>5428.92</v>
      </c>
    </row>
    <row r="240" spans="1:3">
      <c r="A240" s="6" t="s">
        <v>242</v>
      </c>
      <c r="B240" s="3">
        <v>5.83</v>
      </c>
      <c r="C240" s="3">
        <v>4.7300000000000004</v>
      </c>
    </row>
    <row r="241" spans="1:3">
      <c r="A241" s="6" t="s">
        <v>243</v>
      </c>
      <c r="B241" s="3">
        <v>875.98</v>
      </c>
      <c r="C241" s="3">
        <v>855.7</v>
      </c>
    </row>
    <row r="242" spans="1:3">
      <c r="A242" s="6" t="s">
        <v>244</v>
      </c>
      <c r="B242" s="3">
        <v>244.31</v>
      </c>
      <c r="C242" s="3">
        <v>212.56</v>
      </c>
    </row>
    <row r="243" spans="1:3">
      <c r="A243" s="6" t="s">
        <v>245</v>
      </c>
      <c r="B243" s="3">
        <v>152.37</v>
      </c>
      <c r="C243" s="3">
        <v>149.31</v>
      </c>
    </row>
    <row r="244" spans="1:3">
      <c r="A244" s="6" t="s">
        <v>248</v>
      </c>
      <c r="B244" s="3">
        <v>437072.06000000011</v>
      </c>
      <c r="C244" s="3">
        <v>437704.54999999987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BA265-FB58-4F9D-B0F1-6E8106D3BC43}">
  <dimension ref="A3:C244"/>
  <sheetViews>
    <sheetView tabSelected="1" topLeftCell="A223" workbookViewId="0">
      <selection activeCell="C244" sqref="C244"/>
    </sheetView>
  </sheetViews>
  <sheetFormatPr defaultRowHeight="15"/>
  <cols>
    <col min="1" max="1" width="40.7109375" bestFit="1" customWidth="1"/>
    <col min="2" max="3" width="16.42578125" bestFit="1" customWidth="1"/>
  </cols>
  <sheetData>
    <row r="3" spans="1:3">
      <c r="A3" s="5" t="s">
        <v>247</v>
      </c>
      <c r="B3" t="s">
        <v>249</v>
      </c>
      <c r="C3" t="s">
        <v>250</v>
      </c>
    </row>
    <row r="4" spans="1:3">
      <c r="A4" s="6" t="s">
        <v>6</v>
      </c>
      <c r="B4" s="3">
        <v>355.45</v>
      </c>
      <c r="C4" s="3">
        <v>318.91000000000003</v>
      </c>
    </row>
    <row r="5" spans="1:3">
      <c r="A5" s="6" t="s">
        <v>7</v>
      </c>
      <c r="B5" s="3">
        <v>1154.05</v>
      </c>
      <c r="C5" s="3">
        <v>77.36</v>
      </c>
    </row>
    <row r="6" spans="1:3">
      <c r="A6" s="6" t="s">
        <v>8</v>
      </c>
      <c r="B6" s="3">
        <v>848.16</v>
      </c>
      <c r="C6" s="3">
        <v>947.04</v>
      </c>
    </row>
    <row r="7" spans="1:3">
      <c r="A7" s="6" t="s">
        <v>9</v>
      </c>
      <c r="B7" s="3">
        <v>4.1500000000000004</v>
      </c>
      <c r="C7" s="3">
        <v>2.46</v>
      </c>
    </row>
    <row r="8" spans="1:3">
      <c r="A8" s="6" t="s">
        <v>10</v>
      </c>
      <c r="B8" s="3">
        <v>0.32</v>
      </c>
      <c r="C8" s="3">
        <v>0.26</v>
      </c>
    </row>
    <row r="9" spans="1:3">
      <c r="A9" s="6" t="s">
        <v>11</v>
      </c>
      <c r="B9" s="3">
        <v>697.72</v>
      </c>
      <c r="C9" s="3">
        <v>524.35</v>
      </c>
    </row>
    <row r="10" spans="1:3">
      <c r="A10" s="6" t="s">
        <v>12</v>
      </c>
      <c r="B10" s="3">
        <v>0.26</v>
      </c>
      <c r="C10" s="3">
        <v>0.21</v>
      </c>
    </row>
    <row r="11" spans="1:3">
      <c r="A11" s="6" t="s">
        <v>13</v>
      </c>
      <c r="B11" s="3">
        <v>0.26</v>
      </c>
      <c r="C11" s="3">
        <v>0.26</v>
      </c>
    </row>
    <row r="12" spans="1:3">
      <c r="A12" s="6" t="s">
        <v>14</v>
      </c>
      <c r="B12" s="3">
        <v>14.97</v>
      </c>
      <c r="C12" s="3">
        <v>4.76</v>
      </c>
    </row>
    <row r="13" spans="1:3">
      <c r="A13" s="6" t="s">
        <v>15</v>
      </c>
      <c r="B13" s="3">
        <v>1085.75</v>
      </c>
      <c r="C13" s="3">
        <v>1018.54</v>
      </c>
    </row>
    <row r="14" spans="1:3">
      <c r="A14" s="6" t="s">
        <v>16</v>
      </c>
      <c r="B14" s="3">
        <v>94.46</v>
      </c>
      <c r="C14" s="3">
        <v>264.51</v>
      </c>
    </row>
    <row r="15" spans="1:3">
      <c r="A15" s="6" t="s">
        <v>17</v>
      </c>
      <c r="B15" s="3">
        <v>14.79</v>
      </c>
      <c r="C15" s="3">
        <v>11.84</v>
      </c>
    </row>
    <row r="16" spans="1:3">
      <c r="A16" s="6" t="s">
        <v>18</v>
      </c>
      <c r="B16" s="3">
        <v>7940.75</v>
      </c>
      <c r="C16" s="3">
        <v>8581.3799999999992</v>
      </c>
    </row>
    <row r="17" spans="1:3">
      <c r="A17" s="6" t="s">
        <v>19</v>
      </c>
      <c r="B17" s="3">
        <v>1136.4100000000001</v>
      </c>
      <c r="C17" s="3">
        <v>1405.72</v>
      </c>
    </row>
    <row r="18" spans="1:3">
      <c r="A18" s="6" t="s">
        <v>20</v>
      </c>
      <c r="B18" s="3">
        <v>89.67</v>
      </c>
      <c r="C18" s="3">
        <v>93.97</v>
      </c>
    </row>
    <row r="19" spans="1:3">
      <c r="A19" s="6" t="s">
        <v>21</v>
      </c>
      <c r="B19" s="3">
        <v>106.34</v>
      </c>
      <c r="C19" s="3">
        <v>11.47</v>
      </c>
    </row>
    <row r="20" spans="1:3">
      <c r="A20" s="6" t="s">
        <v>22</v>
      </c>
      <c r="B20" s="3">
        <v>909.42</v>
      </c>
      <c r="C20" s="3">
        <v>797.47</v>
      </c>
    </row>
    <row r="21" spans="1:3">
      <c r="A21" s="6" t="s">
        <v>23</v>
      </c>
      <c r="B21" s="3">
        <v>11065.87</v>
      </c>
      <c r="C21" s="3">
        <v>11485.26</v>
      </c>
    </row>
    <row r="22" spans="1:3">
      <c r="A22" s="6" t="s">
        <v>24</v>
      </c>
      <c r="B22" s="3">
        <v>18.829999999999998</v>
      </c>
      <c r="C22" s="3">
        <v>27.61</v>
      </c>
    </row>
    <row r="23" spans="1:3">
      <c r="A23" s="6" t="s">
        <v>25</v>
      </c>
      <c r="B23" s="3">
        <v>43.83</v>
      </c>
      <c r="C23" s="3">
        <v>69.33</v>
      </c>
    </row>
    <row r="24" spans="1:3">
      <c r="A24" s="6" t="s">
        <v>26</v>
      </c>
      <c r="B24" s="3">
        <v>7837.17</v>
      </c>
      <c r="C24" s="3">
        <v>6320.14</v>
      </c>
    </row>
    <row r="25" spans="1:3">
      <c r="A25" s="6" t="s">
        <v>27</v>
      </c>
      <c r="B25" s="3">
        <v>13.47</v>
      </c>
      <c r="C25" s="3">
        <v>13.16</v>
      </c>
    </row>
    <row r="26" spans="1:3">
      <c r="A26" s="6" t="s">
        <v>28</v>
      </c>
      <c r="B26" s="3">
        <v>752.55</v>
      </c>
      <c r="C26" s="3">
        <v>1194.98</v>
      </c>
    </row>
    <row r="27" spans="1:3">
      <c r="A27" s="6" t="s">
        <v>29</v>
      </c>
      <c r="B27" s="3">
        <v>6.08</v>
      </c>
      <c r="C27" s="3">
        <v>4.71</v>
      </c>
    </row>
    <row r="28" spans="1:3">
      <c r="A28" s="6" t="s">
        <v>30</v>
      </c>
      <c r="B28" s="3">
        <v>963.73</v>
      </c>
      <c r="C28" s="3">
        <v>1263.83</v>
      </c>
    </row>
    <row r="29" spans="1:3">
      <c r="A29" s="6" t="s">
        <v>31</v>
      </c>
      <c r="B29" s="3">
        <v>71.41</v>
      </c>
      <c r="C29" s="3">
        <v>70.12</v>
      </c>
    </row>
    <row r="30" spans="1:3">
      <c r="A30" s="6" t="s">
        <v>32</v>
      </c>
      <c r="B30" s="3">
        <v>29.28</v>
      </c>
      <c r="C30" s="3">
        <v>17.329999999999998</v>
      </c>
    </row>
    <row r="31" spans="1:3">
      <c r="A31" s="6" t="s">
        <v>33</v>
      </c>
      <c r="B31" s="3">
        <v>109.26</v>
      </c>
      <c r="C31" s="3">
        <v>173.44</v>
      </c>
    </row>
    <row r="32" spans="1:3">
      <c r="A32" s="6" t="s">
        <v>34</v>
      </c>
      <c r="B32" s="3">
        <v>0.64</v>
      </c>
      <c r="C32" s="3">
        <v>1.97</v>
      </c>
    </row>
    <row r="33" spans="1:3">
      <c r="A33" s="6" t="s">
        <v>35</v>
      </c>
      <c r="B33" s="3">
        <v>6021.84</v>
      </c>
      <c r="C33" s="3">
        <v>6771.01</v>
      </c>
    </row>
    <row r="34" spans="1:3">
      <c r="A34" s="6" t="s">
        <v>36</v>
      </c>
      <c r="B34" s="3">
        <v>0</v>
      </c>
      <c r="C34" s="3">
        <v>0.02</v>
      </c>
    </row>
    <row r="35" spans="1:3">
      <c r="A35" s="6" t="s">
        <v>37</v>
      </c>
      <c r="B35" s="3">
        <v>67.44</v>
      </c>
      <c r="C35" s="3">
        <v>58.67</v>
      </c>
    </row>
    <row r="36" spans="1:3">
      <c r="A36" s="6" t="s">
        <v>38</v>
      </c>
      <c r="B36" s="3">
        <v>223.64</v>
      </c>
      <c r="C36" s="3">
        <v>230.44</v>
      </c>
    </row>
    <row r="37" spans="1:3">
      <c r="A37" s="6" t="s">
        <v>39</v>
      </c>
      <c r="B37" s="3">
        <v>120.82</v>
      </c>
      <c r="C37" s="3">
        <v>144.38999999999999</v>
      </c>
    </row>
    <row r="38" spans="1:3">
      <c r="A38" s="6" t="s">
        <v>40</v>
      </c>
      <c r="B38" s="3">
        <v>38.369999999999997</v>
      </c>
      <c r="C38" s="3">
        <v>29.37</v>
      </c>
    </row>
    <row r="39" spans="1:3">
      <c r="A39" s="6" t="s">
        <v>41</v>
      </c>
      <c r="B39" s="3">
        <v>65.25</v>
      </c>
      <c r="C39" s="3">
        <v>11.85</v>
      </c>
    </row>
    <row r="40" spans="1:3">
      <c r="A40" s="6" t="s">
        <v>42</v>
      </c>
      <c r="B40" s="3">
        <v>185.39</v>
      </c>
      <c r="C40" s="3">
        <v>201.11</v>
      </c>
    </row>
    <row r="41" spans="1:3">
      <c r="A41" s="6" t="s">
        <v>43</v>
      </c>
      <c r="B41" s="3">
        <v>454.04</v>
      </c>
      <c r="C41" s="3">
        <v>596.15</v>
      </c>
    </row>
    <row r="42" spans="1:3">
      <c r="A42" s="6" t="s">
        <v>44</v>
      </c>
      <c r="B42" s="3">
        <v>3845.29</v>
      </c>
      <c r="C42" s="3">
        <v>4222.2700000000004</v>
      </c>
    </row>
    <row r="43" spans="1:3">
      <c r="A43" s="6" t="s">
        <v>45</v>
      </c>
      <c r="B43" s="3">
        <v>3.16</v>
      </c>
      <c r="C43" s="3">
        <v>3.6</v>
      </c>
    </row>
    <row r="44" spans="1:3">
      <c r="A44" s="6" t="s">
        <v>46</v>
      </c>
      <c r="B44" s="3">
        <v>7.12</v>
      </c>
      <c r="C44" s="3">
        <v>136.93</v>
      </c>
    </row>
    <row r="45" spans="1:3">
      <c r="A45" s="6" t="s">
        <v>47</v>
      </c>
      <c r="B45" s="3">
        <v>79.84</v>
      </c>
      <c r="C45" s="3">
        <v>81.27</v>
      </c>
    </row>
    <row r="46" spans="1:3">
      <c r="A46" s="6" t="s">
        <v>48</v>
      </c>
      <c r="B46" s="3">
        <v>1182.94</v>
      </c>
      <c r="C46" s="3">
        <v>1153.8</v>
      </c>
    </row>
    <row r="47" spans="1:3">
      <c r="A47" s="6" t="s">
        <v>49</v>
      </c>
      <c r="B47" s="3">
        <v>16658.91</v>
      </c>
      <c r="C47" s="3">
        <v>14252.21</v>
      </c>
    </row>
    <row r="48" spans="1:3">
      <c r="A48" s="6" t="s">
        <v>50</v>
      </c>
      <c r="B48" s="3">
        <v>0</v>
      </c>
      <c r="C48" s="3">
        <v>0.02</v>
      </c>
    </row>
    <row r="49" spans="1:3">
      <c r="A49" s="6" t="s">
        <v>51</v>
      </c>
      <c r="B49" s="3">
        <v>0.01</v>
      </c>
      <c r="C49" s="3">
        <v>0.06</v>
      </c>
    </row>
    <row r="50" spans="1:3">
      <c r="A50" s="6" t="s">
        <v>52</v>
      </c>
      <c r="B50" s="3">
        <v>1218.8599999999999</v>
      </c>
      <c r="C50" s="3">
        <v>1471.65</v>
      </c>
    </row>
    <row r="51" spans="1:3">
      <c r="A51" s="6" t="s">
        <v>53</v>
      </c>
      <c r="B51" s="3">
        <v>27.95</v>
      </c>
      <c r="C51" s="3">
        <v>36.93</v>
      </c>
    </row>
    <row r="52" spans="1:3">
      <c r="A52" s="6" t="s">
        <v>54</v>
      </c>
      <c r="B52" s="3">
        <v>580.69000000000005</v>
      </c>
      <c r="C52" s="3">
        <v>562.9</v>
      </c>
    </row>
    <row r="53" spans="1:3">
      <c r="A53" s="6" t="s">
        <v>55</v>
      </c>
      <c r="B53" s="3">
        <v>176.03</v>
      </c>
      <c r="C53" s="3">
        <v>178.39</v>
      </c>
    </row>
    <row r="54" spans="1:3">
      <c r="A54" s="6" t="s">
        <v>56</v>
      </c>
      <c r="B54" s="3">
        <v>0.23</v>
      </c>
      <c r="C54" s="3">
        <v>0.13</v>
      </c>
    </row>
    <row r="55" spans="1:3">
      <c r="A55" s="6" t="s">
        <v>57</v>
      </c>
      <c r="B55" s="3">
        <v>183.82</v>
      </c>
      <c r="C55" s="3">
        <v>223.87</v>
      </c>
    </row>
    <row r="56" spans="1:3">
      <c r="A56" s="6" t="s">
        <v>58</v>
      </c>
      <c r="B56" s="3">
        <v>685.53</v>
      </c>
      <c r="C56" s="3">
        <v>989.52</v>
      </c>
    </row>
    <row r="57" spans="1:3">
      <c r="A57" s="6" t="s">
        <v>59</v>
      </c>
      <c r="B57" s="3">
        <v>233.3</v>
      </c>
      <c r="C57" s="3">
        <v>335.76</v>
      </c>
    </row>
    <row r="58" spans="1:3">
      <c r="A58" s="6" t="s">
        <v>60</v>
      </c>
      <c r="B58" s="3">
        <v>40.46</v>
      </c>
      <c r="C58" s="3">
        <v>15.27</v>
      </c>
    </row>
    <row r="59" spans="1:3">
      <c r="A59" s="6" t="s">
        <v>61</v>
      </c>
      <c r="B59" s="3">
        <v>0</v>
      </c>
      <c r="C59" s="3">
        <v>0.28999999999999998</v>
      </c>
    </row>
    <row r="60" spans="1:3">
      <c r="A60" s="6" t="s">
        <v>62</v>
      </c>
      <c r="B60" s="3">
        <v>94.92</v>
      </c>
      <c r="C60" s="3">
        <v>89.92</v>
      </c>
    </row>
    <row r="61" spans="1:3">
      <c r="A61" s="6" t="s">
        <v>63</v>
      </c>
      <c r="B61" s="3">
        <v>1389.79</v>
      </c>
      <c r="C61" s="3">
        <v>2062.69</v>
      </c>
    </row>
    <row r="62" spans="1:3">
      <c r="A62" s="6" t="s">
        <v>64</v>
      </c>
      <c r="B62" s="3">
        <v>856.24</v>
      </c>
      <c r="C62" s="3">
        <v>871.41</v>
      </c>
    </row>
    <row r="63" spans="1:3">
      <c r="A63" s="6" t="s">
        <v>65</v>
      </c>
      <c r="B63" s="3">
        <v>1143.58</v>
      </c>
      <c r="C63" s="3">
        <v>677.24</v>
      </c>
    </row>
    <row r="64" spans="1:3">
      <c r="A64" s="6" t="s">
        <v>66</v>
      </c>
      <c r="B64" s="3">
        <v>347</v>
      </c>
      <c r="C64" s="3">
        <v>381.67</v>
      </c>
    </row>
    <row r="65" spans="1:3">
      <c r="A65" s="6" t="s">
        <v>67</v>
      </c>
      <c r="B65" s="3">
        <v>2.5299999999999998</v>
      </c>
      <c r="C65" s="3">
        <v>6.59</v>
      </c>
    </row>
    <row r="66" spans="1:3">
      <c r="A66" s="6" t="s">
        <v>68</v>
      </c>
      <c r="B66" s="3">
        <v>459.21</v>
      </c>
      <c r="C66" s="3">
        <v>316.69</v>
      </c>
    </row>
    <row r="67" spans="1:3">
      <c r="A67" s="6" t="s">
        <v>69</v>
      </c>
      <c r="B67" s="3">
        <v>3520.62</v>
      </c>
      <c r="C67" s="3">
        <v>3411.36</v>
      </c>
    </row>
    <row r="68" spans="1:3">
      <c r="A68" s="6" t="s">
        <v>70</v>
      </c>
      <c r="B68" s="3">
        <v>128.91</v>
      </c>
      <c r="C68" s="3">
        <v>149.09</v>
      </c>
    </row>
    <row r="69" spans="1:3">
      <c r="A69" s="6" t="s">
        <v>71</v>
      </c>
      <c r="B69" s="3">
        <v>26.79</v>
      </c>
      <c r="C69" s="3">
        <v>19.18</v>
      </c>
    </row>
    <row r="70" spans="1:3">
      <c r="A70" s="6" t="s">
        <v>72</v>
      </c>
      <c r="B70" s="3">
        <v>10.050000000000001</v>
      </c>
      <c r="C70" s="3">
        <v>19</v>
      </c>
    </row>
    <row r="71" spans="1:3">
      <c r="A71" s="6" t="s">
        <v>73</v>
      </c>
      <c r="B71" s="3">
        <v>77.290000000000006</v>
      </c>
      <c r="C71" s="3">
        <v>69.66</v>
      </c>
    </row>
    <row r="72" spans="1:3">
      <c r="A72" s="6" t="s">
        <v>74</v>
      </c>
      <c r="B72" s="3">
        <v>489.59</v>
      </c>
      <c r="C72" s="3">
        <v>476.81</v>
      </c>
    </row>
    <row r="73" spans="1:3">
      <c r="A73" s="6" t="s">
        <v>75</v>
      </c>
      <c r="B73" s="3">
        <v>0</v>
      </c>
      <c r="C73" s="3">
        <v>0.01</v>
      </c>
    </row>
    <row r="74" spans="1:3">
      <c r="A74" s="6" t="s">
        <v>76</v>
      </c>
      <c r="B74" s="3">
        <v>5.94</v>
      </c>
      <c r="C74" s="3">
        <v>12.67</v>
      </c>
    </row>
    <row r="75" spans="1:3">
      <c r="A75" s="6" t="s">
        <v>77</v>
      </c>
      <c r="B75" s="3">
        <v>76.28</v>
      </c>
      <c r="C75" s="3">
        <v>84.67</v>
      </c>
    </row>
    <row r="76" spans="1:3">
      <c r="A76" s="6" t="s">
        <v>78</v>
      </c>
      <c r="B76" s="3">
        <v>582.52</v>
      </c>
      <c r="C76" s="3">
        <v>471.82</v>
      </c>
    </row>
    <row r="77" spans="1:3">
      <c r="A77" s="6" t="s">
        <v>79</v>
      </c>
      <c r="B77" s="3">
        <v>1.47</v>
      </c>
      <c r="C77" s="3">
        <v>1.51</v>
      </c>
    </row>
    <row r="78" spans="1:3">
      <c r="A78" s="6" t="s">
        <v>80</v>
      </c>
      <c r="B78" s="3">
        <v>12</v>
      </c>
      <c r="C78" s="3">
        <v>12.52</v>
      </c>
    </row>
    <row r="79" spans="1:3">
      <c r="A79" s="6" t="s">
        <v>81</v>
      </c>
      <c r="B79" s="3">
        <v>7141.09</v>
      </c>
      <c r="C79" s="3">
        <v>7960.06</v>
      </c>
    </row>
    <row r="80" spans="1:3">
      <c r="A80" s="6" t="s">
        <v>82</v>
      </c>
      <c r="B80" s="3">
        <v>72.67</v>
      </c>
      <c r="C80" s="3">
        <v>94.12</v>
      </c>
    </row>
    <row r="81" spans="1:3">
      <c r="A81" s="6" t="s">
        <v>83</v>
      </c>
      <c r="B81" s="3">
        <v>175.95</v>
      </c>
      <c r="C81" s="3">
        <v>116.16</v>
      </c>
    </row>
    <row r="82" spans="1:3">
      <c r="A82" s="6" t="s">
        <v>84</v>
      </c>
      <c r="B82" s="3">
        <v>197.49</v>
      </c>
      <c r="C82" s="3">
        <v>288.98</v>
      </c>
    </row>
    <row r="83" spans="1:3">
      <c r="A83" s="6" t="s">
        <v>85</v>
      </c>
      <c r="B83" s="3">
        <v>9839.6299999999992</v>
      </c>
      <c r="C83" s="3">
        <v>10628.61</v>
      </c>
    </row>
    <row r="84" spans="1:3">
      <c r="A84" s="6" t="s">
        <v>86</v>
      </c>
      <c r="B84" s="3">
        <v>1098.8800000000001</v>
      </c>
      <c r="C84" s="3">
        <v>1346.75</v>
      </c>
    </row>
    <row r="85" spans="1:3">
      <c r="A85" s="6" t="s">
        <v>87</v>
      </c>
      <c r="B85" s="3">
        <v>829.43</v>
      </c>
      <c r="C85" s="3">
        <v>26.67</v>
      </c>
    </row>
    <row r="86" spans="1:3">
      <c r="A86" s="6" t="s">
        <v>88</v>
      </c>
      <c r="B86" s="3">
        <v>1055.17</v>
      </c>
      <c r="C86" s="3">
        <v>1056.17</v>
      </c>
    </row>
    <row r="87" spans="1:3">
      <c r="A87" s="6" t="s">
        <v>89</v>
      </c>
      <c r="B87" s="3">
        <v>0.23</v>
      </c>
      <c r="C87" s="3">
        <v>0.03</v>
      </c>
    </row>
    <row r="88" spans="1:3">
      <c r="A88" s="6" t="s">
        <v>90</v>
      </c>
      <c r="B88" s="3">
        <v>4.4000000000000004</v>
      </c>
      <c r="C88" s="3">
        <v>4.45</v>
      </c>
    </row>
    <row r="89" spans="1:3">
      <c r="A89" s="6" t="s">
        <v>91</v>
      </c>
      <c r="B89" s="3">
        <v>4.6100000000000003</v>
      </c>
      <c r="C89" s="3">
        <v>5.29</v>
      </c>
    </row>
    <row r="90" spans="1:3">
      <c r="A90" s="6" t="s">
        <v>92</v>
      </c>
      <c r="B90" s="3">
        <v>0.85</v>
      </c>
      <c r="C90" s="3">
        <v>1.21</v>
      </c>
    </row>
    <row r="91" spans="1:3">
      <c r="A91" s="6" t="s">
        <v>93</v>
      </c>
      <c r="B91" s="3">
        <v>559.04999999999995</v>
      </c>
      <c r="C91" s="3">
        <v>633.92999999999995</v>
      </c>
    </row>
    <row r="92" spans="1:3">
      <c r="A92" s="6" t="s">
        <v>94</v>
      </c>
      <c r="B92" s="3">
        <v>0</v>
      </c>
      <c r="C92" s="3">
        <v>0</v>
      </c>
    </row>
    <row r="93" spans="1:3">
      <c r="A93" s="6" t="s">
        <v>95</v>
      </c>
      <c r="B93" s="3">
        <v>696.48</v>
      </c>
      <c r="C93" s="3">
        <v>901.08</v>
      </c>
    </row>
    <row r="94" spans="1:3">
      <c r="A94" s="6" t="s">
        <v>96</v>
      </c>
      <c r="B94" s="3">
        <v>6.98</v>
      </c>
      <c r="C94" s="3">
        <v>22.42</v>
      </c>
    </row>
    <row r="95" spans="1:3">
      <c r="A95" s="6" t="s">
        <v>97</v>
      </c>
      <c r="B95" s="3">
        <v>99.36</v>
      </c>
      <c r="C95" s="3">
        <v>92.59</v>
      </c>
    </row>
    <row r="96" spans="1:3">
      <c r="A96" s="6" t="s">
        <v>98</v>
      </c>
      <c r="B96" s="3">
        <v>105.54</v>
      </c>
      <c r="C96" s="3">
        <v>89.03</v>
      </c>
    </row>
    <row r="97" spans="1:3">
      <c r="A97" s="6" t="s">
        <v>99</v>
      </c>
      <c r="B97" s="3">
        <v>265.93</v>
      </c>
      <c r="C97" s="3">
        <v>274.47000000000003</v>
      </c>
    </row>
    <row r="98" spans="1:3">
      <c r="A98" s="6" t="s">
        <v>100</v>
      </c>
      <c r="B98" s="3">
        <v>8243.93</v>
      </c>
      <c r="C98" s="3">
        <v>6066.71</v>
      </c>
    </row>
    <row r="99" spans="1:3">
      <c r="A99" s="6" t="s">
        <v>101</v>
      </c>
      <c r="B99" s="3">
        <v>561.46</v>
      </c>
      <c r="C99" s="3">
        <v>533.65</v>
      </c>
    </row>
    <row r="100" spans="1:3">
      <c r="A100" s="6" t="s">
        <v>102</v>
      </c>
      <c r="B100" s="3">
        <v>12.16</v>
      </c>
      <c r="C100" s="3">
        <v>66.010000000000005</v>
      </c>
    </row>
    <row r="101" spans="1:3">
      <c r="A101" s="6" t="s">
        <v>103</v>
      </c>
      <c r="B101" s="3">
        <v>5988.88</v>
      </c>
      <c r="C101" s="3">
        <v>5380.18</v>
      </c>
    </row>
    <row r="102" spans="1:3">
      <c r="A102" s="6" t="s">
        <v>104</v>
      </c>
      <c r="B102" s="3">
        <v>0</v>
      </c>
      <c r="C102" s="3">
        <v>0</v>
      </c>
    </row>
    <row r="103" spans="1:3">
      <c r="A103" s="6" t="s">
        <v>105</v>
      </c>
      <c r="B103" s="3">
        <v>1222.26</v>
      </c>
      <c r="C103" s="3">
        <v>1241.1500000000001</v>
      </c>
    </row>
    <row r="104" spans="1:3">
      <c r="A104" s="6" t="s">
        <v>106</v>
      </c>
      <c r="B104" s="3">
        <v>3354.73</v>
      </c>
      <c r="C104" s="3">
        <v>3272.52</v>
      </c>
    </row>
    <row r="105" spans="1:3">
      <c r="A105" s="6" t="s">
        <v>107</v>
      </c>
      <c r="B105" s="3">
        <v>702.73</v>
      </c>
      <c r="C105" s="3">
        <v>864.67</v>
      </c>
    </row>
    <row r="106" spans="1:3">
      <c r="A106" s="6" t="s">
        <v>108</v>
      </c>
      <c r="B106" s="3">
        <v>4525.92</v>
      </c>
      <c r="C106" s="3">
        <v>2145.0100000000002</v>
      </c>
    </row>
    <row r="107" spans="1:3">
      <c r="A107" s="6" t="s">
        <v>109</v>
      </c>
      <c r="B107" s="3">
        <v>8765.7800000000007</v>
      </c>
      <c r="C107" s="3">
        <v>7727.33</v>
      </c>
    </row>
    <row r="108" spans="1:3">
      <c r="A108" s="6" t="s">
        <v>110</v>
      </c>
      <c r="B108" s="3">
        <v>109.15</v>
      </c>
      <c r="C108" s="3">
        <v>93.01</v>
      </c>
    </row>
    <row r="109" spans="1:3">
      <c r="A109" s="6" t="s">
        <v>111</v>
      </c>
      <c r="B109" s="3">
        <v>5156.28</v>
      </c>
      <c r="C109" s="3">
        <v>6249.32</v>
      </c>
    </row>
    <row r="110" spans="1:3">
      <c r="A110" s="6" t="s">
        <v>112</v>
      </c>
      <c r="B110" s="3">
        <v>0</v>
      </c>
      <c r="C110" s="3">
        <v>0</v>
      </c>
    </row>
    <row r="111" spans="1:3">
      <c r="A111" s="6" t="s">
        <v>113</v>
      </c>
      <c r="B111" s="3">
        <v>1465.26</v>
      </c>
      <c r="C111" s="3">
        <v>755.14</v>
      </c>
    </row>
    <row r="112" spans="1:3">
      <c r="A112" s="6" t="s">
        <v>114</v>
      </c>
      <c r="B112" s="3">
        <v>236.56</v>
      </c>
      <c r="C112" s="3">
        <v>262.98</v>
      </c>
    </row>
    <row r="113" spans="1:3">
      <c r="A113" s="6" t="s">
        <v>115</v>
      </c>
      <c r="B113" s="3">
        <v>3174.83</v>
      </c>
      <c r="C113" s="3">
        <v>3134.05</v>
      </c>
    </row>
    <row r="114" spans="1:3">
      <c r="A114" s="6" t="s">
        <v>116</v>
      </c>
      <c r="B114" s="3">
        <v>1.04</v>
      </c>
      <c r="C114" s="3">
        <v>3.89</v>
      </c>
    </row>
    <row r="115" spans="1:3">
      <c r="A115" s="6" t="s">
        <v>117</v>
      </c>
      <c r="B115" s="3">
        <v>2.04</v>
      </c>
      <c r="C115" s="3">
        <v>2.61</v>
      </c>
    </row>
    <row r="116" spans="1:3">
      <c r="A116" s="6" t="s">
        <v>118</v>
      </c>
      <c r="B116" s="3">
        <v>6416.67</v>
      </c>
      <c r="C116" s="3">
        <v>5819.64</v>
      </c>
    </row>
    <row r="117" spans="1:3">
      <c r="A117" s="6" t="s">
        <v>119</v>
      </c>
      <c r="B117" s="3">
        <v>2103.2199999999998</v>
      </c>
      <c r="C117" s="3">
        <v>1934.81</v>
      </c>
    </row>
    <row r="118" spans="1:3">
      <c r="A118" s="6" t="s">
        <v>120</v>
      </c>
      <c r="B118" s="3">
        <v>45.72</v>
      </c>
      <c r="C118" s="3">
        <v>46.26</v>
      </c>
    </row>
    <row r="119" spans="1:3">
      <c r="A119" s="6" t="s">
        <v>121</v>
      </c>
      <c r="B119" s="3">
        <v>12.88</v>
      </c>
      <c r="C119" s="3">
        <v>12.52</v>
      </c>
    </row>
    <row r="120" spans="1:3">
      <c r="A120" s="6" t="s">
        <v>122</v>
      </c>
      <c r="B120" s="3">
        <v>220.49</v>
      </c>
      <c r="C120" s="3">
        <v>235.94</v>
      </c>
    </row>
    <row r="121" spans="1:3">
      <c r="A121" s="6" t="s">
        <v>123</v>
      </c>
      <c r="B121" s="3">
        <v>344.91</v>
      </c>
      <c r="C121" s="3">
        <v>337.05</v>
      </c>
    </row>
    <row r="122" spans="1:3">
      <c r="A122" s="6" t="s">
        <v>124</v>
      </c>
      <c r="B122" s="3">
        <v>5.55</v>
      </c>
      <c r="C122" s="3">
        <v>10.3</v>
      </c>
    </row>
    <row r="123" spans="1:3">
      <c r="A123" s="6" t="s">
        <v>125</v>
      </c>
      <c r="B123" s="3">
        <v>243.29</v>
      </c>
      <c r="C123" s="3">
        <v>376.33</v>
      </c>
    </row>
    <row r="124" spans="1:3">
      <c r="A124" s="6" t="s">
        <v>126</v>
      </c>
      <c r="B124" s="3">
        <v>565.12</v>
      </c>
      <c r="C124" s="3">
        <v>650.37</v>
      </c>
    </row>
    <row r="125" spans="1:3">
      <c r="A125" s="6" t="s">
        <v>127</v>
      </c>
      <c r="B125" s="3">
        <v>0.88</v>
      </c>
      <c r="C125" s="3">
        <v>0.41</v>
      </c>
    </row>
    <row r="126" spans="1:3">
      <c r="A126" s="6" t="s">
        <v>128</v>
      </c>
      <c r="B126" s="3">
        <v>314.42</v>
      </c>
      <c r="C126" s="3">
        <v>258.06</v>
      </c>
    </row>
    <row r="127" spans="1:3">
      <c r="A127" s="6" t="s">
        <v>129</v>
      </c>
      <c r="B127" s="3">
        <v>39.65</v>
      </c>
      <c r="C127" s="3">
        <v>49.9</v>
      </c>
    </row>
    <row r="128" spans="1:3">
      <c r="A128" s="6" t="s">
        <v>130</v>
      </c>
      <c r="B128" s="3">
        <v>0.96</v>
      </c>
      <c r="C128" s="3">
        <v>1.42</v>
      </c>
    </row>
    <row r="129" spans="1:3">
      <c r="A129" s="6" t="s">
        <v>131</v>
      </c>
      <c r="B129" s="3">
        <v>36.64</v>
      </c>
      <c r="C129" s="3">
        <v>33.729999999999997</v>
      </c>
    </row>
    <row r="130" spans="1:3">
      <c r="A130" s="6" t="s">
        <v>132</v>
      </c>
      <c r="B130" s="3">
        <v>231.91</v>
      </c>
      <c r="C130" s="3">
        <v>268.8</v>
      </c>
    </row>
    <row r="131" spans="1:3">
      <c r="A131" s="6" t="s">
        <v>133</v>
      </c>
      <c r="B131" s="3">
        <v>87.18</v>
      </c>
      <c r="C131" s="3">
        <v>94.56</v>
      </c>
    </row>
    <row r="132" spans="1:3">
      <c r="A132" s="6" t="s">
        <v>134</v>
      </c>
      <c r="B132" s="3">
        <v>7262.15</v>
      </c>
      <c r="C132" s="3">
        <v>7316.85</v>
      </c>
    </row>
    <row r="133" spans="1:3">
      <c r="A133" s="6" t="s">
        <v>135</v>
      </c>
      <c r="B133" s="3">
        <v>891.89</v>
      </c>
      <c r="C133" s="3">
        <v>560.88</v>
      </c>
    </row>
    <row r="134" spans="1:3">
      <c r="A134" s="6" t="s">
        <v>136</v>
      </c>
      <c r="B134" s="3">
        <v>119.62</v>
      </c>
      <c r="C134" s="3">
        <v>128.08000000000001</v>
      </c>
    </row>
    <row r="135" spans="1:3">
      <c r="A135" s="6" t="s">
        <v>137</v>
      </c>
      <c r="B135" s="3">
        <v>496.11</v>
      </c>
      <c r="C135" s="3">
        <v>351.09</v>
      </c>
    </row>
    <row r="136" spans="1:3">
      <c r="A136" s="6" t="s">
        <v>138</v>
      </c>
      <c r="B136" s="3">
        <v>2.19</v>
      </c>
      <c r="C136" s="3">
        <v>2.84</v>
      </c>
    </row>
    <row r="137" spans="1:3">
      <c r="A137" s="6" t="s">
        <v>139</v>
      </c>
      <c r="B137" s="3">
        <v>4.59</v>
      </c>
      <c r="C137" s="3">
        <v>4.83</v>
      </c>
    </row>
    <row r="138" spans="1:3">
      <c r="A138" s="6" t="s">
        <v>140</v>
      </c>
      <c r="B138" s="3">
        <v>96.38</v>
      </c>
      <c r="C138" s="3">
        <v>114.83</v>
      </c>
    </row>
    <row r="139" spans="1:3">
      <c r="A139" s="6" t="s">
        <v>141</v>
      </c>
      <c r="B139" s="3">
        <v>778.03</v>
      </c>
      <c r="C139" s="3">
        <v>676.49</v>
      </c>
    </row>
    <row r="140" spans="1:3">
      <c r="A140" s="6" t="s">
        <v>142</v>
      </c>
      <c r="B140" s="3">
        <v>7.57</v>
      </c>
      <c r="C140" s="3">
        <v>7.56</v>
      </c>
    </row>
    <row r="141" spans="1:3">
      <c r="A141" s="6" t="s">
        <v>143</v>
      </c>
      <c r="B141" s="3">
        <v>5324.23</v>
      </c>
      <c r="C141" s="3">
        <v>5749.01</v>
      </c>
    </row>
    <row r="142" spans="1:3">
      <c r="A142" s="6" t="s">
        <v>144</v>
      </c>
      <c r="B142" s="3">
        <v>0.62</v>
      </c>
      <c r="C142" s="3">
        <v>0.81</v>
      </c>
    </row>
    <row r="143" spans="1:3">
      <c r="A143" s="6" t="s">
        <v>145</v>
      </c>
      <c r="B143" s="3">
        <v>12.51</v>
      </c>
      <c r="C143" s="3">
        <v>10.39</v>
      </c>
    </row>
    <row r="144" spans="1:3">
      <c r="A144" s="6" t="s">
        <v>146</v>
      </c>
      <c r="B144" s="3">
        <v>2.36</v>
      </c>
      <c r="C144" s="3">
        <v>6.97</v>
      </c>
    </row>
    <row r="145" spans="1:3">
      <c r="A145" s="6" t="s">
        <v>147</v>
      </c>
      <c r="B145" s="3">
        <v>33.15</v>
      </c>
      <c r="C145" s="3">
        <v>26.46</v>
      </c>
    </row>
    <row r="146" spans="1:3">
      <c r="A146" s="6" t="s">
        <v>148</v>
      </c>
      <c r="B146" s="3">
        <v>34.909999999999997</v>
      </c>
      <c r="C146" s="3">
        <v>124.67</v>
      </c>
    </row>
    <row r="147" spans="1:3">
      <c r="A147" s="6" t="s">
        <v>149</v>
      </c>
      <c r="B147" s="3">
        <v>0.12</v>
      </c>
      <c r="C147" s="3">
        <v>0.12</v>
      </c>
    </row>
    <row r="148" spans="1:3">
      <c r="A148" s="6" t="s">
        <v>150</v>
      </c>
      <c r="B148" s="3">
        <v>1032.58</v>
      </c>
      <c r="C148" s="3">
        <v>967.05</v>
      </c>
    </row>
    <row r="149" spans="1:3">
      <c r="A149" s="6" t="s">
        <v>151</v>
      </c>
      <c r="B149" s="3">
        <v>1996</v>
      </c>
      <c r="C149" s="3">
        <v>1323.39</v>
      </c>
    </row>
    <row r="150" spans="1:3">
      <c r="A150" s="6" t="s">
        <v>152</v>
      </c>
      <c r="B150" s="3">
        <v>670.37</v>
      </c>
      <c r="C150" s="3">
        <v>614.29999999999995</v>
      </c>
    </row>
    <row r="151" spans="1:3">
      <c r="A151" s="6" t="s">
        <v>153</v>
      </c>
      <c r="B151" s="3">
        <v>0.31</v>
      </c>
      <c r="C151" s="3">
        <v>0.1</v>
      </c>
    </row>
    <row r="152" spans="1:3">
      <c r="A152" s="6" t="s">
        <v>154</v>
      </c>
      <c r="B152" s="3">
        <v>453.48</v>
      </c>
      <c r="C152" s="3">
        <v>327.20999999999998</v>
      </c>
    </row>
    <row r="153" spans="1:3">
      <c r="A153" s="6" t="s">
        <v>155</v>
      </c>
      <c r="B153" s="3">
        <v>0.09</v>
      </c>
      <c r="C153" s="3">
        <v>0.04</v>
      </c>
    </row>
    <row r="154" spans="1:3">
      <c r="A154" s="6" t="s">
        <v>156</v>
      </c>
      <c r="B154" s="3">
        <v>7040.98</v>
      </c>
      <c r="C154" s="3">
        <v>7385.98</v>
      </c>
    </row>
    <row r="155" spans="1:3">
      <c r="A155" s="6" t="s">
        <v>157</v>
      </c>
      <c r="B155" s="3">
        <v>22366.86</v>
      </c>
      <c r="C155" s="3">
        <v>22763.41</v>
      </c>
    </row>
    <row r="156" spans="1:3">
      <c r="A156" s="6" t="s">
        <v>158</v>
      </c>
      <c r="B156" s="3">
        <v>21.43</v>
      </c>
      <c r="C156" s="3">
        <v>21.68</v>
      </c>
    </row>
    <row r="157" spans="1:3">
      <c r="A157" s="6" t="s">
        <v>159</v>
      </c>
      <c r="B157" s="3">
        <v>15.4</v>
      </c>
      <c r="C157" s="3">
        <v>5.82</v>
      </c>
    </row>
    <row r="158" spans="1:3">
      <c r="A158" s="6" t="s">
        <v>160</v>
      </c>
      <c r="B158" s="3">
        <v>538.33000000000004</v>
      </c>
      <c r="C158" s="3">
        <v>711.1</v>
      </c>
    </row>
    <row r="159" spans="1:3">
      <c r="A159" s="6" t="s">
        <v>161</v>
      </c>
      <c r="B159" s="3">
        <v>132.31</v>
      </c>
      <c r="C159" s="3">
        <v>159.33000000000001</v>
      </c>
    </row>
    <row r="160" spans="1:3">
      <c r="A160" s="6" t="s">
        <v>162</v>
      </c>
      <c r="B160" s="3">
        <v>47.22</v>
      </c>
      <c r="C160" s="3">
        <v>72.680000000000007</v>
      </c>
    </row>
    <row r="161" spans="1:3">
      <c r="A161" s="6" t="s">
        <v>163</v>
      </c>
      <c r="B161" s="3">
        <v>3626.4</v>
      </c>
      <c r="C161" s="3">
        <v>2945.5</v>
      </c>
    </row>
    <row r="162" spans="1:3">
      <c r="A162" s="6" t="s">
        <v>164</v>
      </c>
      <c r="B162" s="3">
        <v>0.02</v>
      </c>
      <c r="C162" s="3">
        <v>0.8</v>
      </c>
    </row>
    <row r="163" spans="1:3">
      <c r="A163" s="6" t="s">
        <v>165</v>
      </c>
      <c r="B163" s="3">
        <v>403.08</v>
      </c>
      <c r="C163" s="3">
        <v>425.01</v>
      </c>
    </row>
    <row r="164" spans="1:3">
      <c r="A164" s="6" t="s">
        <v>166</v>
      </c>
      <c r="B164" s="3">
        <v>4426.47</v>
      </c>
      <c r="C164" s="3">
        <v>4065.35</v>
      </c>
    </row>
    <row r="165" spans="1:3">
      <c r="A165" s="6" t="s">
        <v>167</v>
      </c>
      <c r="B165" s="3">
        <v>1188.8499999999999</v>
      </c>
      <c r="C165" s="3">
        <v>557.78</v>
      </c>
    </row>
    <row r="166" spans="1:3">
      <c r="A166" s="6" t="s">
        <v>168</v>
      </c>
      <c r="B166" s="3">
        <v>0.15</v>
      </c>
      <c r="C166" s="3">
        <v>0.24</v>
      </c>
    </row>
    <row r="167" spans="1:3">
      <c r="A167" s="6" t="s">
        <v>169</v>
      </c>
      <c r="B167" s="3">
        <v>296.52999999999997</v>
      </c>
      <c r="C167" s="3">
        <v>287.43</v>
      </c>
    </row>
    <row r="168" spans="1:3">
      <c r="A168" s="6" t="s">
        <v>170</v>
      </c>
      <c r="B168" s="3">
        <v>70.06</v>
      </c>
      <c r="C168" s="3">
        <v>70.38</v>
      </c>
    </row>
    <row r="169" spans="1:3">
      <c r="A169" s="6" t="s">
        <v>171</v>
      </c>
      <c r="B169" s="3">
        <v>212.25</v>
      </c>
      <c r="C169" s="3">
        <v>180.47</v>
      </c>
    </row>
    <row r="170" spans="1:3">
      <c r="A170" s="6" t="s">
        <v>172</v>
      </c>
      <c r="B170" s="3">
        <v>920.09</v>
      </c>
      <c r="C170" s="3">
        <v>1002.26</v>
      </c>
    </row>
    <row r="171" spans="1:3">
      <c r="A171" s="6" t="s">
        <v>173</v>
      </c>
      <c r="B171" s="3">
        <v>2097.17</v>
      </c>
      <c r="C171" s="3">
        <v>2162.4299999999998</v>
      </c>
    </row>
    <row r="172" spans="1:3">
      <c r="A172" s="6" t="s">
        <v>174</v>
      </c>
      <c r="B172" s="3">
        <v>0</v>
      </c>
      <c r="C172" s="3">
        <v>0</v>
      </c>
    </row>
    <row r="173" spans="1:3">
      <c r="A173" s="6" t="s">
        <v>175</v>
      </c>
      <c r="B173" s="3">
        <v>2436.27</v>
      </c>
      <c r="C173" s="3">
        <v>2618.61</v>
      </c>
    </row>
    <row r="174" spans="1:3">
      <c r="A174" s="6" t="s">
        <v>176</v>
      </c>
      <c r="B174" s="3">
        <v>1183.8</v>
      </c>
      <c r="C174" s="3">
        <v>920.25</v>
      </c>
    </row>
    <row r="175" spans="1:3">
      <c r="A175" s="6" t="s">
        <v>177</v>
      </c>
      <c r="B175" s="3">
        <v>140.53</v>
      </c>
      <c r="C175" s="3">
        <v>135.05000000000001</v>
      </c>
    </row>
    <row r="176" spans="1:3">
      <c r="A176" s="6" t="s">
        <v>178</v>
      </c>
      <c r="B176" s="3">
        <v>1700.01</v>
      </c>
      <c r="C176" s="3">
        <v>1682.48</v>
      </c>
    </row>
    <row r="177" spans="1:3">
      <c r="A177" s="6" t="s">
        <v>179</v>
      </c>
      <c r="B177" s="3">
        <v>45.33</v>
      </c>
      <c r="C177" s="3">
        <v>49.04</v>
      </c>
    </row>
    <row r="178" spans="1:3">
      <c r="A178" s="6" t="s">
        <v>180</v>
      </c>
      <c r="B178" s="3">
        <v>1778.05</v>
      </c>
      <c r="C178" s="3">
        <v>1036.01</v>
      </c>
    </row>
    <row r="179" spans="1:3">
      <c r="A179" s="6" t="s">
        <v>181</v>
      </c>
      <c r="B179" s="3">
        <v>4261.3100000000004</v>
      </c>
      <c r="C179" s="3">
        <v>4881.3</v>
      </c>
    </row>
    <row r="180" spans="1:3">
      <c r="A180" s="6" t="s">
        <v>182</v>
      </c>
      <c r="B180" s="3">
        <v>133.5</v>
      </c>
      <c r="C180" s="3">
        <v>98.74</v>
      </c>
    </row>
    <row r="181" spans="1:3">
      <c r="A181" s="6" t="s">
        <v>183</v>
      </c>
      <c r="B181" s="3">
        <v>7.0000000000000007E-2</v>
      </c>
      <c r="C181" s="3">
        <v>0.03</v>
      </c>
    </row>
    <row r="182" spans="1:3">
      <c r="A182" s="6" t="s">
        <v>184</v>
      </c>
      <c r="B182" s="3">
        <v>1.92</v>
      </c>
      <c r="C182" s="3">
        <v>1.71</v>
      </c>
    </row>
    <row r="183" spans="1:3">
      <c r="A183" s="6" t="s">
        <v>185</v>
      </c>
      <c r="B183" s="3">
        <v>0.52</v>
      </c>
      <c r="C183" s="3">
        <v>3.57</v>
      </c>
    </row>
    <row r="184" spans="1:3">
      <c r="A184" s="6" t="s">
        <v>186</v>
      </c>
      <c r="B184" s="3">
        <v>1.53</v>
      </c>
      <c r="C184" s="3">
        <v>1.47</v>
      </c>
    </row>
    <row r="185" spans="1:3">
      <c r="A185" s="6" t="s">
        <v>187</v>
      </c>
      <c r="B185" s="3">
        <v>11558.57</v>
      </c>
      <c r="C185" s="3">
        <v>11756.65</v>
      </c>
    </row>
    <row r="186" spans="1:3">
      <c r="A186" s="6" t="s">
        <v>188</v>
      </c>
      <c r="B186" s="3">
        <v>938.57</v>
      </c>
      <c r="C186" s="3">
        <v>1001.1</v>
      </c>
    </row>
    <row r="187" spans="1:3">
      <c r="A187" s="6" t="s">
        <v>189</v>
      </c>
      <c r="B187" s="3">
        <v>106.91</v>
      </c>
      <c r="C187" s="3">
        <v>100</v>
      </c>
    </row>
    <row r="188" spans="1:3">
      <c r="A188" s="6" t="s">
        <v>190</v>
      </c>
      <c r="B188" s="3">
        <v>76.19</v>
      </c>
      <c r="C188" s="3">
        <v>196.03</v>
      </c>
    </row>
    <row r="189" spans="1:3">
      <c r="A189" s="6" t="s">
        <v>191</v>
      </c>
      <c r="B189" s="3">
        <v>267.86</v>
      </c>
      <c r="C189" s="3">
        <v>385.47</v>
      </c>
    </row>
    <row r="190" spans="1:3">
      <c r="A190" s="6" t="s">
        <v>192</v>
      </c>
      <c r="B190" s="3">
        <v>14414.27</v>
      </c>
      <c r="C190" s="3">
        <v>12976.15</v>
      </c>
    </row>
    <row r="191" spans="1:3">
      <c r="A191" s="6" t="s">
        <v>193</v>
      </c>
      <c r="B191" s="3">
        <v>0.45</v>
      </c>
      <c r="C191" s="3">
        <v>0.68</v>
      </c>
    </row>
    <row r="192" spans="1:3">
      <c r="A192" s="6" t="s">
        <v>194</v>
      </c>
      <c r="B192" s="3">
        <v>193.03</v>
      </c>
      <c r="C192" s="3">
        <v>380.38</v>
      </c>
    </row>
    <row r="193" spans="1:3">
      <c r="A193" s="6" t="s">
        <v>195</v>
      </c>
      <c r="B193" s="3">
        <v>586.97</v>
      </c>
      <c r="C193" s="3">
        <v>586.74</v>
      </c>
    </row>
    <row r="194" spans="1:3">
      <c r="A194" s="6" t="s">
        <v>196</v>
      </c>
      <c r="B194" s="3">
        <v>2.99</v>
      </c>
      <c r="C194" s="3">
        <v>2.56</v>
      </c>
    </row>
    <row r="195" spans="1:3">
      <c r="A195" s="6" t="s">
        <v>197</v>
      </c>
      <c r="B195" s="3">
        <v>819.58</v>
      </c>
      <c r="C195" s="3">
        <v>765.67</v>
      </c>
    </row>
    <row r="196" spans="1:3">
      <c r="A196" s="6" t="s">
        <v>198</v>
      </c>
      <c r="B196" s="3">
        <v>8707.5300000000007</v>
      </c>
      <c r="C196" s="3">
        <v>7462.28</v>
      </c>
    </row>
    <row r="197" spans="1:3">
      <c r="A197" s="6" t="s">
        <v>199</v>
      </c>
      <c r="B197" s="3">
        <v>41.68</v>
      </c>
      <c r="C197" s="3">
        <v>21.26</v>
      </c>
    </row>
    <row r="198" spans="1:3">
      <c r="A198" s="6" t="s">
        <v>200</v>
      </c>
      <c r="B198" s="3">
        <v>4793.7</v>
      </c>
      <c r="C198" s="3">
        <v>4763.75</v>
      </c>
    </row>
    <row r="199" spans="1:3">
      <c r="A199" s="6" t="s">
        <v>201</v>
      </c>
      <c r="B199" s="3">
        <v>4116.8999999999996</v>
      </c>
      <c r="C199" s="3">
        <v>4550.78</v>
      </c>
    </row>
    <row r="200" spans="1:3">
      <c r="A200" s="6" t="s">
        <v>202</v>
      </c>
      <c r="B200" s="3">
        <v>0</v>
      </c>
      <c r="C200" s="3">
        <v>0.13</v>
      </c>
    </row>
    <row r="201" spans="1:3">
      <c r="A201" s="6" t="s">
        <v>203</v>
      </c>
      <c r="B201" s="3">
        <v>4.99</v>
      </c>
      <c r="C201" s="3">
        <v>2.73</v>
      </c>
    </row>
    <row r="202" spans="1:3">
      <c r="A202" s="6" t="s">
        <v>204</v>
      </c>
      <c r="B202" s="3">
        <v>7.26</v>
      </c>
      <c r="C202" s="3">
        <v>10.23</v>
      </c>
    </row>
    <row r="203" spans="1:3">
      <c r="A203" s="6" t="s">
        <v>205</v>
      </c>
      <c r="B203" s="3">
        <v>2.38</v>
      </c>
      <c r="C203" s="3">
        <v>3.28</v>
      </c>
    </row>
    <row r="204" spans="1:3">
      <c r="A204" s="6" t="s">
        <v>206</v>
      </c>
      <c r="B204" s="3">
        <v>0.65</v>
      </c>
      <c r="C204" s="3">
        <v>0.02</v>
      </c>
    </row>
    <row r="205" spans="1:3">
      <c r="A205" s="6" t="s">
        <v>207</v>
      </c>
      <c r="B205" s="3">
        <v>805.04</v>
      </c>
      <c r="C205" s="3">
        <v>589.03</v>
      </c>
    </row>
    <row r="206" spans="1:3">
      <c r="A206" s="6" t="s">
        <v>208</v>
      </c>
      <c r="B206" s="3">
        <v>29.25</v>
      </c>
      <c r="C206" s="3">
        <v>28.55</v>
      </c>
    </row>
    <row r="207" spans="1:3">
      <c r="A207" s="6" t="s">
        <v>209</v>
      </c>
      <c r="B207" s="3">
        <v>0.11</v>
      </c>
      <c r="C207" s="3">
        <v>0</v>
      </c>
    </row>
    <row r="208" spans="1:3">
      <c r="A208" s="6" t="s">
        <v>210</v>
      </c>
      <c r="B208" s="3">
        <v>24.79</v>
      </c>
      <c r="C208" s="3">
        <v>18.57</v>
      </c>
    </row>
    <row r="209" spans="1:3">
      <c r="A209" s="6" t="s">
        <v>211</v>
      </c>
      <c r="B209" s="3">
        <v>1018.8</v>
      </c>
      <c r="C209" s="3">
        <v>1262.05</v>
      </c>
    </row>
    <row r="210" spans="1:3">
      <c r="A210" s="6" t="s">
        <v>212</v>
      </c>
      <c r="B210" s="3">
        <v>1526.92</v>
      </c>
      <c r="C210" s="3">
        <v>1475.41</v>
      </c>
    </row>
    <row r="211" spans="1:3">
      <c r="A211" s="6" t="s">
        <v>213</v>
      </c>
      <c r="B211" s="3">
        <v>63.2</v>
      </c>
      <c r="C211" s="3">
        <v>63.71</v>
      </c>
    </row>
    <row r="212" spans="1:3">
      <c r="A212" s="6" t="s">
        <v>214</v>
      </c>
      <c r="B212" s="3">
        <v>1840.59</v>
      </c>
      <c r="C212" s="3">
        <v>1781.7</v>
      </c>
    </row>
    <row r="213" spans="1:3">
      <c r="A213" s="6" t="s">
        <v>215</v>
      </c>
      <c r="B213" s="3">
        <v>51.64</v>
      </c>
      <c r="C213" s="3">
        <v>45.68</v>
      </c>
    </row>
    <row r="214" spans="1:3">
      <c r="A214" s="6" t="s">
        <v>216</v>
      </c>
      <c r="B214" s="3">
        <v>4616.62</v>
      </c>
      <c r="C214" s="3">
        <v>4789.6099999999997</v>
      </c>
    </row>
    <row r="215" spans="1:3">
      <c r="A215" s="6" t="s">
        <v>217</v>
      </c>
      <c r="B215" s="3">
        <v>5038.97</v>
      </c>
      <c r="C215" s="3">
        <v>4812.58</v>
      </c>
    </row>
    <row r="216" spans="1:3">
      <c r="A216" s="6" t="s">
        <v>218</v>
      </c>
      <c r="B216" s="3">
        <v>48.02</v>
      </c>
      <c r="C216" s="3">
        <v>38.409999999999997</v>
      </c>
    </row>
    <row r="217" spans="1:3">
      <c r="A217" s="6" t="s">
        <v>219</v>
      </c>
      <c r="B217" s="3">
        <v>3229.01</v>
      </c>
      <c r="C217" s="3">
        <v>2522.0500000000002</v>
      </c>
    </row>
    <row r="218" spans="1:3">
      <c r="A218" s="6" t="s">
        <v>220</v>
      </c>
      <c r="B218" s="3">
        <v>0</v>
      </c>
      <c r="C218" s="3">
        <v>0.05</v>
      </c>
    </row>
    <row r="219" spans="1:3">
      <c r="A219" s="6" t="s">
        <v>221</v>
      </c>
      <c r="B219" s="3">
        <v>1.59</v>
      </c>
      <c r="C219" s="3">
        <v>1.1399999999999999</v>
      </c>
    </row>
    <row r="220" spans="1:3">
      <c r="A220" s="6" t="s">
        <v>222</v>
      </c>
      <c r="B220" s="3">
        <v>109.06</v>
      </c>
      <c r="C220" s="3">
        <v>120.65</v>
      </c>
    </row>
    <row r="221" spans="1:3">
      <c r="A221" s="6" t="s">
        <v>223</v>
      </c>
      <c r="B221" s="3">
        <v>439.2</v>
      </c>
      <c r="C221" s="3">
        <v>377.99</v>
      </c>
    </row>
    <row r="222" spans="1:3">
      <c r="A222" s="6" t="s">
        <v>224</v>
      </c>
      <c r="B222" s="3">
        <v>6654.63</v>
      </c>
      <c r="C222" s="3">
        <v>5716.54</v>
      </c>
    </row>
    <row r="223" spans="1:3">
      <c r="A223" s="6" t="s">
        <v>225</v>
      </c>
      <c r="B223" s="3">
        <v>37.46</v>
      </c>
      <c r="C223" s="3">
        <v>54.16</v>
      </c>
    </row>
    <row r="224" spans="1:3">
      <c r="A224" s="6" t="s">
        <v>226</v>
      </c>
      <c r="B224" s="3">
        <v>1.1100000000000001</v>
      </c>
      <c r="C224" s="3">
        <v>1.72</v>
      </c>
    </row>
    <row r="225" spans="1:3">
      <c r="A225" s="6" t="s">
        <v>227</v>
      </c>
      <c r="B225" s="3">
        <v>0.11</v>
      </c>
      <c r="C225" s="3">
        <v>0.01</v>
      </c>
    </row>
    <row r="226" spans="1:3">
      <c r="A226" s="6" t="s">
        <v>228</v>
      </c>
      <c r="B226" s="3">
        <v>35625.019999999997</v>
      </c>
      <c r="C226" s="3">
        <v>36638.019999999997</v>
      </c>
    </row>
    <row r="227" spans="1:3">
      <c r="A227" s="6" t="s">
        <v>229</v>
      </c>
      <c r="B227" s="3">
        <v>12922.65</v>
      </c>
      <c r="C227" s="3">
        <v>14549.95</v>
      </c>
    </row>
    <row r="228" spans="1:3">
      <c r="A228" s="6" t="s">
        <v>230</v>
      </c>
      <c r="B228" s="3">
        <v>77515.03</v>
      </c>
      <c r="C228" s="3">
        <v>86514.28</v>
      </c>
    </row>
    <row r="229" spans="1:3">
      <c r="A229" s="6" t="s">
        <v>231</v>
      </c>
      <c r="B229" s="3">
        <v>508.14</v>
      </c>
      <c r="C229" s="3">
        <v>451.5</v>
      </c>
    </row>
    <row r="230" spans="1:3">
      <c r="A230" s="6" t="s">
        <v>232</v>
      </c>
      <c r="B230" s="3">
        <v>173.3</v>
      </c>
      <c r="C230" s="3">
        <v>187.4</v>
      </c>
    </row>
    <row r="231" spans="1:3">
      <c r="A231" s="6" t="s">
        <v>233</v>
      </c>
      <c r="B231" s="3">
        <v>0</v>
      </c>
      <c r="C231" s="3">
        <v>0</v>
      </c>
    </row>
    <row r="232" spans="1:3">
      <c r="A232" s="6" t="s">
        <v>234</v>
      </c>
      <c r="B232" s="3">
        <v>2987</v>
      </c>
      <c r="C232" s="3">
        <v>3579.33</v>
      </c>
    </row>
    <row r="233" spans="1:3">
      <c r="A233" s="6" t="s">
        <v>235</v>
      </c>
      <c r="B233" s="3">
        <v>520.83000000000004</v>
      </c>
      <c r="C233" s="3">
        <v>153.29</v>
      </c>
    </row>
    <row r="234" spans="1:3">
      <c r="A234" s="6" t="s">
        <v>236</v>
      </c>
      <c r="B234" s="3">
        <v>0.3</v>
      </c>
      <c r="C234" s="3">
        <v>0.59</v>
      </c>
    </row>
    <row r="235" spans="1:3">
      <c r="A235" s="6" t="s">
        <v>237</v>
      </c>
      <c r="B235" s="3">
        <v>372.56</v>
      </c>
      <c r="C235" s="3">
        <v>517.72</v>
      </c>
    </row>
    <row r="236" spans="1:3">
      <c r="A236" s="6" t="s">
        <v>238</v>
      </c>
      <c r="B236" s="3">
        <v>3.92</v>
      </c>
      <c r="C236" s="3">
        <v>3.75</v>
      </c>
    </row>
    <row r="237" spans="1:3">
      <c r="A237" s="6" t="s">
        <v>239</v>
      </c>
      <c r="B237" s="3">
        <v>0.09</v>
      </c>
      <c r="C237" s="3">
        <v>0</v>
      </c>
    </row>
    <row r="238" spans="1:3">
      <c r="A238" s="6" t="s">
        <v>240</v>
      </c>
      <c r="B238" s="3">
        <v>175.33</v>
      </c>
      <c r="C238" s="3">
        <v>216.99</v>
      </c>
    </row>
    <row r="239" spans="1:3">
      <c r="A239" s="6" t="s">
        <v>241</v>
      </c>
      <c r="B239" s="3">
        <v>5470.15</v>
      </c>
      <c r="C239" s="3">
        <v>5428.92</v>
      </c>
    </row>
    <row r="240" spans="1:3">
      <c r="A240" s="6" t="s">
        <v>242</v>
      </c>
      <c r="B240" s="3">
        <v>5.83</v>
      </c>
      <c r="C240" s="3">
        <v>4.7300000000000004</v>
      </c>
    </row>
    <row r="241" spans="1:3">
      <c r="A241" s="6" t="s">
        <v>243</v>
      </c>
      <c r="B241" s="3">
        <v>875.98</v>
      </c>
      <c r="C241" s="3">
        <v>855.7</v>
      </c>
    </row>
    <row r="242" spans="1:3">
      <c r="A242" s="6" t="s">
        <v>244</v>
      </c>
      <c r="B242" s="3">
        <v>244.31</v>
      </c>
      <c r="C242" s="3">
        <v>212.56</v>
      </c>
    </row>
    <row r="243" spans="1:3">
      <c r="A243" s="6" t="s">
        <v>245</v>
      </c>
      <c r="B243" s="3">
        <v>152.37</v>
      </c>
      <c r="C243" s="3">
        <v>149.31</v>
      </c>
    </row>
    <row r="244" spans="1:3">
      <c r="A244" s="6" t="s">
        <v>248</v>
      </c>
      <c r="B244" s="3">
        <v>437072.06000000011</v>
      </c>
      <c r="C244" s="3">
        <v>437704.54999999987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41"/>
  <sheetViews>
    <sheetView topLeftCell="A2" workbookViewId="0">
      <selection activeCell="D10" sqref="D10"/>
    </sheetView>
  </sheetViews>
  <sheetFormatPr defaultRowHeight="15"/>
  <cols>
    <col min="1" max="1" width="27" customWidth="1"/>
    <col min="2" max="2" width="50" customWidth="1"/>
    <col min="3" max="3" width="13.42578125" style="3" customWidth="1"/>
    <col min="4" max="4" width="9.7109375" style="3" customWidth="1"/>
    <col min="5" max="5" width="13.42578125" style="3" customWidth="1"/>
    <col min="6" max="6" width="10.7109375" style="3" customWidth="1"/>
    <col min="7" max="7" width="11.42578125" style="3" customWidth="1"/>
  </cols>
  <sheetData>
    <row r="1" spans="1:9">
      <c r="A1" s="1" t="s">
        <v>0</v>
      </c>
      <c r="B1" s="1" t="s">
        <v>1</v>
      </c>
      <c r="C1" s="4" t="s">
        <v>2</v>
      </c>
      <c r="D1" s="4" t="s">
        <v>3</v>
      </c>
      <c r="E1" s="4" t="s">
        <v>4</v>
      </c>
      <c r="F1" s="4" t="s">
        <v>246</v>
      </c>
      <c r="G1" s="4" t="s">
        <v>5</v>
      </c>
    </row>
    <row r="2" spans="1:9">
      <c r="A2" s="2">
        <v>1</v>
      </c>
      <c r="B2" t="s">
        <v>6</v>
      </c>
      <c r="C2" s="3">
        <v>355.45</v>
      </c>
      <c r="D2" s="3">
        <v>8.1299999999999997E-2</v>
      </c>
      <c r="E2" s="3">
        <v>318.91000000000003</v>
      </c>
      <c r="F2" s="3">
        <v>7.2900000000000006E-2</v>
      </c>
      <c r="G2" s="3">
        <v>-10.28</v>
      </c>
    </row>
    <row r="3" spans="1:9">
      <c r="A3" s="2">
        <v>2</v>
      </c>
      <c r="B3" t="s">
        <v>7</v>
      </c>
      <c r="C3" s="3">
        <v>1154.05</v>
      </c>
      <c r="D3" s="3">
        <v>0.26400000000000001</v>
      </c>
      <c r="E3" s="3">
        <v>77.36</v>
      </c>
      <c r="F3" s="3">
        <v>1.77E-2</v>
      </c>
      <c r="G3" s="3">
        <v>-93.3</v>
      </c>
    </row>
    <row r="4" spans="1:9">
      <c r="A4" s="2">
        <v>3</v>
      </c>
      <c r="B4" t="s">
        <v>8</v>
      </c>
      <c r="C4" s="3">
        <v>848.16</v>
      </c>
      <c r="D4" s="3">
        <v>0.19409999999999999</v>
      </c>
      <c r="E4" s="3">
        <v>947.04</v>
      </c>
      <c r="F4" s="3">
        <v>0.21640000000000001</v>
      </c>
      <c r="G4" s="3">
        <v>11.66</v>
      </c>
    </row>
    <row r="5" spans="1:9">
      <c r="A5" s="2">
        <v>4</v>
      </c>
      <c r="B5" t="s">
        <v>9</v>
      </c>
      <c r="C5" s="3">
        <v>4.1500000000000004</v>
      </c>
      <c r="D5" s="3">
        <v>8.9999999999999998E-4</v>
      </c>
      <c r="E5" s="3">
        <v>2.46</v>
      </c>
      <c r="F5" s="3">
        <v>5.9999999999999995E-4</v>
      </c>
      <c r="G5" s="3">
        <v>-40.72</v>
      </c>
    </row>
    <row r="6" spans="1:9">
      <c r="A6" s="2">
        <v>5</v>
      </c>
      <c r="B6" t="s">
        <v>10</v>
      </c>
      <c r="C6" s="3">
        <v>0.32</v>
      </c>
      <c r="D6" s="3">
        <v>1E-4</v>
      </c>
      <c r="E6" s="3">
        <v>0.26</v>
      </c>
      <c r="F6" s="3">
        <v>1E-4</v>
      </c>
      <c r="G6" s="3">
        <v>-16.98</v>
      </c>
    </row>
    <row r="7" spans="1:9">
      <c r="A7" s="2">
        <v>6</v>
      </c>
      <c r="B7" t="s">
        <v>11</v>
      </c>
      <c r="C7" s="3">
        <v>697.72</v>
      </c>
      <c r="D7" s="3">
        <v>0.15959999999999999</v>
      </c>
      <c r="E7" s="3">
        <v>524.35</v>
      </c>
      <c r="F7" s="3">
        <v>0.1198</v>
      </c>
      <c r="G7" s="3">
        <v>-24.85</v>
      </c>
    </row>
    <row r="8" spans="1:9">
      <c r="A8" s="2">
        <v>7</v>
      </c>
      <c r="B8" t="s">
        <v>12</v>
      </c>
      <c r="C8" s="3">
        <v>0.26</v>
      </c>
      <c r="D8" s="3">
        <v>1E-4</v>
      </c>
      <c r="E8" s="3">
        <v>0.21</v>
      </c>
      <c r="F8" s="3">
        <v>0</v>
      </c>
      <c r="G8" s="3">
        <v>-20.2</v>
      </c>
      <c r="I8" s="3"/>
    </row>
    <row r="9" spans="1:9">
      <c r="A9" s="2">
        <v>8</v>
      </c>
      <c r="B9" t="s">
        <v>13</v>
      </c>
      <c r="C9" s="3">
        <v>0.26</v>
      </c>
      <c r="D9" s="3">
        <v>1E-4</v>
      </c>
      <c r="E9" s="3">
        <v>0.26</v>
      </c>
      <c r="F9" s="3">
        <v>1E-4</v>
      </c>
      <c r="G9" s="3">
        <v>-0.45</v>
      </c>
    </row>
    <row r="10" spans="1:9">
      <c r="A10" s="2">
        <v>9</v>
      </c>
      <c r="B10" t="s">
        <v>14</v>
      </c>
      <c r="C10" s="3">
        <v>14.97</v>
      </c>
      <c r="D10" s="3">
        <v>3.3999999999999998E-3</v>
      </c>
      <c r="E10" s="3">
        <v>4.76</v>
      </c>
      <c r="F10" s="3">
        <v>1.1000000000000001E-3</v>
      </c>
      <c r="G10" s="3">
        <v>-68.180000000000007</v>
      </c>
    </row>
    <row r="11" spans="1:9">
      <c r="A11" s="2">
        <v>10</v>
      </c>
      <c r="B11" t="s">
        <v>15</v>
      </c>
      <c r="C11" s="3">
        <v>1085.75</v>
      </c>
      <c r="D11" s="3">
        <v>0.24840000000000001</v>
      </c>
      <c r="E11" s="3">
        <v>1018.54</v>
      </c>
      <c r="F11" s="3">
        <v>0.23269999999999999</v>
      </c>
      <c r="G11" s="3">
        <v>-6.19</v>
      </c>
    </row>
    <row r="12" spans="1:9">
      <c r="A12" s="2">
        <v>11</v>
      </c>
      <c r="B12" t="s">
        <v>16</v>
      </c>
      <c r="C12" s="3">
        <v>94.46</v>
      </c>
      <c r="D12" s="3">
        <v>2.1600000000000001E-2</v>
      </c>
      <c r="E12" s="3">
        <v>264.51</v>
      </c>
      <c r="F12" s="3">
        <v>6.0400000000000002E-2</v>
      </c>
      <c r="G12" s="3">
        <v>180.01</v>
      </c>
    </row>
    <row r="13" spans="1:9">
      <c r="A13" s="2">
        <v>12</v>
      </c>
      <c r="B13" t="s">
        <v>17</v>
      </c>
      <c r="C13" s="3">
        <v>14.79</v>
      </c>
      <c r="D13" s="3">
        <v>3.3999999999999998E-3</v>
      </c>
      <c r="E13" s="3">
        <v>11.84</v>
      </c>
      <c r="F13" s="3">
        <v>2.7000000000000001E-3</v>
      </c>
      <c r="G13" s="3">
        <v>-19.940000000000001</v>
      </c>
    </row>
    <row r="14" spans="1:9">
      <c r="A14" s="2">
        <v>13</v>
      </c>
      <c r="B14" t="s">
        <v>18</v>
      </c>
      <c r="C14" s="3">
        <v>7940.75</v>
      </c>
      <c r="D14" s="3">
        <v>1.8168</v>
      </c>
      <c r="E14" s="3">
        <v>8581.3799999999992</v>
      </c>
      <c r="F14" s="3">
        <v>1.9604999999999999</v>
      </c>
      <c r="G14" s="3">
        <v>8.07</v>
      </c>
    </row>
    <row r="15" spans="1:9">
      <c r="A15" s="2">
        <v>14</v>
      </c>
      <c r="B15" t="s">
        <v>19</v>
      </c>
      <c r="C15" s="3">
        <v>1136.4100000000001</v>
      </c>
      <c r="D15" s="3">
        <v>0.26</v>
      </c>
      <c r="E15" s="3">
        <v>1405.72</v>
      </c>
      <c r="F15" s="3">
        <v>0.32119999999999999</v>
      </c>
      <c r="G15" s="3">
        <v>23.7</v>
      </c>
    </row>
    <row r="16" spans="1:9">
      <c r="A16" s="2">
        <v>15</v>
      </c>
      <c r="B16" t="s">
        <v>20</v>
      </c>
      <c r="C16" s="3">
        <v>89.67</v>
      </c>
      <c r="D16" s="3">
        <v>2.0500000000000001E-2</v>
      </c>
      <c r="E16" s="3">
        <v>93.97</v>
      </c>
      <c r="F16" s="3">
        <v>2.1499999999999998E-2</v>
      </c>
      <c r="G16" s="3">
        <v>4.79</v>
      </c>
    </row>
    <row r="17" spans="1:7">
      <c r="A17" s="2">
        <v>16</v>
      </c>
      <c r="B17" t="s">
        <v>21</v>
      </c>
      <c r="C17" s="3">
        <v>106.34</v>
      </c>
      <c r="D17" s="3">
        <v>2.4299999999999999E-2</v>
      </c>
      <c r="E17" s="3">
        <v>11.47</v>
      </c>
      <c r="F17" s="3">
        <v>2.5999999999999999E-3</v>
      </c>
      <c r="G17" s="3">
        <v>-89.21</v>
      </c>
    </row>
    <row r="18" spans="1:7">
      <c r="A18" s="2">
        <v>17</v>
      </c>
      <c r="B18" t="s">
        <v>22</v>
      </c>
      <c r="C18" s="3">
        <v>909.42</v>
      </c>
      <c r="D18" s="3">
        <v>0.20810000000000001</v>
      </c>
      <c r="E18" s="3">
        <v>797.47</v>
      </c>
      <c r="F18" s="3">
        <v>0.1822</v>
      </c>
      <c r="G18" s="3">
        <v>-12.31</v>
      </c>
    </row>
    <row r="19" spans="1:7">
      <c r="A19" s="2">
        <v>18</v>
      </c>
      <c r="B19" t="s">
        <v>23</v>
      </c>
      <c r="C19" s="3">
        <v>11065.87</v>
      </c>
      <c r="D19" s="3">
        <v>2.5318000000000001</v>
      </c>
      <c r="E19" s="3">
        <v>11485.26</v>
      </c>
      <c r="F19" s="3">
        <v>2.6240000000000001</v>
      </c>
      <c r="G19" s="3">
        <v>3.79</v>
      </c>
    </row>
    <row r="20" spans="1:7">
      <c r="A20" s="2">
        <v>19</v>
      </c>
      <c r="B20" t="s">
        <v>24</v>
      </c>
      <c r="C20" s="3">
        <v>18.829999999999998</v>
      </c>
      <c r="D20" s="3">
        <v>4.3E-3</v>
      </c>
      <c r="E20" s="3">
        <v>27.61</v>
      </c>
      <c r="F20" s="3">
        <v>6.3E-3</v>
      </c>
      <c r="G20" s="3">
        <v>46.57</v>
      </c>
    </row>
    <row r="21" spans="1:7">
      <c r="A21" s="2">
        <v>20</v>
      </c>
      <c r="B21" t="s">
        <v>25</v>
      </c>
      <c r="C21" s="3">
        <v>43.83</v>
      </c>
      <c r="D21" s="3">
        <v>0.01</v>
      </c>
      <c r="E21" s="3">
        <v>69.33</v>
      </c>
      <c r="F21" s="3">
        <v>1.5800000000000002E-2</v>
      </c>
      <c r="G21" s="3">
        <v>58.17</v>
      </c>
    </row>
    <row r="22" spans="1:7">
      <c r="A22" s="2">
        <v>21</v>
      </c>
      <c r="B22" t="s">
        <v>26</v>
      </c>
      <c r="C22" s="3">
        <v>7837.17</v>
      </c>
      <c r="D22" s="3">
        <v>1.7930999999999999</v>
      </c>
      <c r="E22" s="3">
        <v>6320.14</v>
      </c>
      <c r="F22" s="3">
        <v>1.4439</v>
      </c>
      <c r="G22" s="3">
        <v>-19.36</v>
      </c>
    </row>
    <row r="23" spans="1:7">
      <c r="A23" s="2">
        <v>22</v>
      </c>
      <c r="B23" t="s">
        <v>27</v>
      </c>
      <c r="C23" s="3">
        <v>13.47</v>
      </c>
      <c r="D23" s="3">
        <v>3.0999999999999999E-3</v>
      </c>
      <c r="E23" s="3">
        <v>13.16</v>
      </c>
      <c r="F23" s="3">
        <v>3.0000000000000001E-3</v>
      </c>
      <c r="G23" s="3">
        <v>-2.2999999999999998</v>
      </c>
    </row>
    <row r="24" spans="1:7">
      <c r="A24" s="2">
        <v>23</v>
      </c>
      <c r="B24" t="s">
        <v>28</v>
      </c>
      <c r="C24" s="3">
        <v>752.55</v>
      </c>
      <c r="D24" s="3">
        <v>0.17219999999999999</v>
      </c>
      <c r="E24" s="3">
        <v>1194.98</v>
      </c>
      <c r="F24" s="3">
        <v>0.27300000000000002</v>
      </c>
      <c r="G24" s="3">
        <v>58.79</v>
      </c>
    </row>
    <row r="25" spans="1:7">
      <c r="A25" s="2">
        <v>24</v>
      </c>
      <c r="B25" t="s">
        <v>29</v>
      </c>
      <c r="C25" s="3">
        <v>6.08</v>
      </c>
      <c r="D25" s="3">
        <v>1.4E-3</v>
      </c>
      <c r="E25" s="3">
        <v>4.71</v>
      </c>
      <c r="F25" s="3">
        <v>1.1000000000000001E-3</v>
      </c>
      <c r="G25" s="3">
        <v>-22.59</v>
      </c>
    </row>
    <row r="26" spans="1:7">
      <c r="A26" s="2">
        <v>25</v>
      </c>
      <c r="B26" t="s">
        <v>30</v>
      </c>
      <c r="C26" s="3">
        <v>963.73</v>
      </c>
      <c r="D26" s="3">
        <v>0.2205</v>
      </c>
      <c r="E26" s="3">
        <v>1263.83</v>
      </c>
      <c r="F26" s="3">
        <v>0.28870000000000001</v>
      </c>
      <c r="G26" s="3">
        <v>31.14</v>
      </c>
    </row>
    <row r="27" spans="1:7">
      <c r="A27" s="2">
        <v>26</v>
      </c>
      <c r="B27" t="s">
        <v>31</v>
      </c>
      <c r="C27" s="3">
        <v>71.41</v>
      </c>
      <c r="D27" s="3">
        <v>1.6299999999999999E-2</v>
      </c>
      <c r="E27" s="3">
        <v>70.12</v>
      </c>
      <c r="F27" s="3">
        <v>1.6E-2</v>
      </c>
      <c r="G27" s="3">
        <v>-1.81</v>
      </c>
    </row>
    <row r="28" spans="1:7">
      <c r="A28" s="2">
        <v>27</v>
      </c>
      <c r="B28" t="s">
        <v>32</v>
      </c>
      <c r="C28" s="3">
        <v>29.28</v>
      </c>
      <c r="D28" s="3">
        <v>6.7000000000000002E-3</v>
      </c>
      <c r="E28" s="3">
        <v>17.329999999999998</v>
      </c>
      <c r="F28" s="3">
        <v>4.0000000000000001E-3</v>
      </c>
      <c r="G28" s="3">
        <v>-40.79</v>
      </c>
    </row>
    <row r="29" spans="1:7">
      <c r="A29" s="2">
        <v>28</v>
      </c>
      <c r="B29" t="s">
        <v>33</v>
      </c>
      <c r="C29" s="3">
        <v>109.26</v>
      </c>
      <c r="D29" s="3">
        <v>2.5000000000000001E-2</v>
      </c>
      <c r="E29" s="3">
        <v>173.44</v>
      </c>
      <c r="F29" s="3">
        <v>3.9600000000000003E-2</v>
      </c>
      <c r="G29" s="3">
        <v>58.74</v>
      </c>
    </row>
    <row r="30" spans="1:7">
      <c r="A30" s="2">
        <v>29</v>
      </c>
      <c r="B30" t="s">
        <v>34</v>
      </c>
      <c r="C30" s="3">
        <v>0.64</v>
      </c>
      <c r="D30" s="3">
        <v>1E-4</v>
      </c>
      <c r="E30" s="3">
        <v>1.97</v>
      </c>
      <c r="F30" s="3">
        <v>5.0000000000000001E-4</v>
      </c>
      <c r="G30" s="3">
        <v>209.72</v>
      </c>
    </row>
    <row r="31" spans="1:7">
      <c r="A31" s="2">
        <v>30</v>
      </c>
      <c r="B31" t="s">
        <v>35</v>
      </c>
      <c r="C31" s="3">
        <v>6021.84</v>
      </c>
      <c r="D31" s="3">
        <v>1.3777999999999999</v>
      </c>
      <c r="E31" s="3">
        <v>6771.01</v>
      </c>
      <c r="F31" s="3">
        <v>1.5468999999999999</v>
      </c>
      <c r="G31" s="3">
        <v>12.44</v>
      </c>
    </row>
    <row r="32" spans="1:7">
      <c r="A32" s="2">
        <v>31</v>
      </c>
      <c r="B32" t="s">
        <v>36</v>
      </c>
      <c r="C32" s="3">
        <v>0</v>
      </c>
      <c r="D32" s="3">
        <v>0</v>
      </c>
      <c r="E32" s="3">
        <v>0.02</v>
      </c>
      <c r="F32" s="3">
        <v>0</v>
      </c>
      <c r="G32" s="3">
        <v>0</v>
      </c>
    </row>
    <row r="33" spans="1:7">
      <c r="A33" s="2">
        <v>32</v>
      </c>
      <c r="B33" t="s">
        <v>37</v>
      </c>
      <c r="C33" s="3">
        <v>67.44</v>
      </c>
      <c r="D33" s="3">
        <v>1.54E-2</v>
      </c>
      <c r="E33" s="3">
        <v>58.67</v>
      </c>
      <c r="F33" s="3">
        <v>1.34E-2</v>
      </c>
      <c r="G33" s="3">
        <v>-13</v>
      </c>
    </row>
    <row r="34" spans="1:7">
      <c r="A34" s="2">
        <v>33</v>
      </c>
      <c r="B34" t="s">
        <v>38</v>
      </c>
      <c r="C34" s="3">
        <v>223.64</v>
      </c>
      <c r="D34" s="3">
        <v>5.1200000000000002E-2</v>
      </c>
      <c r="E34" s="3">
        <v>230.44</v>
      </c>
      <c r="F34" s="3">
        <v>5.2600000000000001E-2</v>
      </c>
      <c r="G34" s="3">
        <v>3.04</v>
      </c>
    </row>
    <row r="35" spans="1:7">
      <c r="A35" s="2">
        <v>34</v>
      </c>
      <c r="B35" t="s">
        <v>39</v>
      </c>
      <c r="C35" s="3">
        <v>120.82</v>
      </c>
      <c r="D35" s="3">
        <v>2.76E-2</v>
      </c>
      <c r="E35" s="3">
        <v>144.38999999999999</v>
      </c>
      <c r="F35" s="3">
        <v>3.3000000000000002E-2</v>
      </c>
      <c r="G35" s="3">
        <v>19.510000000000002</v>
      </c>
    </row>
    <row r="36" spans="1:7">
      <c r="A36" s="2">
        <v>35</v>
      </c>
      <c r="B36" t="s">
        <v>40</v>
      </c>
      <c r="C36" s="3">
        <v>38.369999999999997</v>
      </c>
      <c r="D36" s="3">
        <v>8.8000000000000005E-3</v>
      </c>
      <c r="E36" s="3">
        <v>29.37</v>
      </c>
      <c r="F36" s="3">
        <v>6.7000000000000002E-3</v>
      </c>
      <c r="G36" s="3">
        <v>-23.45</v>
      </c>
    </row>
    <row r="37" spans="1:7">
      <c r="A37" s="2">
        <v>36</v>
      </c>
      <c r="B37" t="s">
        <v>41</v>
      </c>
      <c r="C37" s="3">
        <v>65.25</v>
      </c>
      <c r="D37" s="3">
        <v>1.49E-2</v>
      </c>
      <c r="E37" s="3">
        <v>11.85</v>
      </c>
      <c r="F37" s="3">
        <v>2.7000000000000001E-3</v>
      </c>
      <c r="G37" s="3">
        <v>-81.84</v>
      </c>
    </row>
    <row r="38" spans="1:7">
      <c r="A38" s="2">
        <v>37</v>
      </c>
      <c r="B38" t="s">
        <v>42</v>
      </c>
      <c r="C38" s="3">
        <v>185.39</v>
      </c>
      <c r="D38" s="3">
        <v>4.24E-2</v>
      </c>
      <c r="E38" s="3">
        <v>201.11</v>
      </c>
      <c r="F38" s="3">
        <v>4.5900000000000003E-2</v>
      </c>
      <c r="G38" s="3">
        <v>8.48</v>
      </c>
    </row>
    <row r="39" spans="1:7">
      <c r="A39" s="2">
        <v>38</v>
      </c>
      <c r="B39" t="s">
        <v>43</v>
      </c>
      <c r="C39" s="3">
        <v>454.04</v>
      </c>
      <c r="D39" s="3">
        <v>0.10390000000000001</v>
      </c>
      <c r="E39" s="3">
        <v>596.15</v>
      </c>
      <c r="F39" s="3">
        <v>0.13619999999999999</v>
      </c>
      <c r="G39" s="3">
        <v>31.3</v>
      </c>
    </row>
    <row r="40" spans="1:7">
      <c r="A40" s="2">
        <v>39</v>
      </c>
      <c r="B40" t="s">
        <v>44</v>
      </c>
      <c r="C40" s="3">
        <v>3845.29</v>
      </c>
      <c r="D40" s="3">
        <v>0.87980000000000003</v>
      </c>
      <c r="E40" s="3">
        <v>4222.2700000000004</v>
      </c>
      <c r="F40" s="3">
        <v>0.96460000000000001</v>
      </c>
      <c r="G40" s="3">
        <v>9.8000000000000007</v>
      </c>
    </row>
    <row r="41" spans="1:7">
      <c r="A41" s="2">
        <v>40</v>
      </c>
      <c r="B41" t="s">
        <v>45</v>
      </c>
      <c r="C41" s="3">
        <v>3.16</v>
      </c>
      <c r="D41" s="3">
        <v>6.9999999999999999E-4</v>
      </c>
      <c r="E41" s="3">
        <v>3.6</v>
      </c>
      <c r="F41" s="3">
        <v>8.0000000000000004E-4</v>
      </c>
      <c r="G41" s="3">
        <v>14.15</v>
      </c>
    </row>
    <row r="42" spans="1:7">
      <c r="A42" s="2">
        <v>41</v>
      </c>
      <c r="B42" t="s">
        <v>46</v>
      </c>
      <c r="C42" s="3">
        <v>7.12</v>
      </c>
      <c r="D42" s="3">
        <v>1.6000000000000001E-3</v>
      </c>
      <c r="E42" s="3">
        <v>136.93</v>
      </c>
      <c r="F42" s="3">
        <v>3.1300000000000001E-2</v>
      </c>
      <c r="G42" s="3">
        <v>1822.82</v>
      </c>
    </row>
    <row r="43" spans="1:7">
      <c r="A43" s="2">
        <v>42</v>
      </c>
      <c r="B43" t="s">
        <v>47</v>
      </c>
      <c r="C43" s="3">
        <v>79.84</v>
      </c>
      <c r="D43" s="3">
        <v>1.83E-2</v>
      </c>
      <c r="E43" s="3">
        <v>81.27</v>
      </c>
      <c r="F43" s="3">
        <v>1.8599999999999998E-2</v>
      </c>
      <c r="G43" s="3">
        <v>1.79</v>
      </c>
    </row>
    <row r="44" spans="1:7">
      <c r="A44" s="2">
        <v>43</v>
      </c>
      <c r="B44" t="s">
        <v>48</v>
      </c>
      <c r="C44" s="3">
        <v>1182.94</v>
      </c>
      <c r="D44" s="3">
        <v>0.2707</v>
      </c>
      <c r="E44" s="3">
        <v>1153.8</v>
      </c>
      <c r="F44" s="3">
        <v>0.2636</v>
      </c>
      <c r="G44" s="3">
        <v>-2.46</v>
      </c>
    </row>
    <row r="45" spans="1:7">
      <c r="A45" s="2">
        <v>44</v>
      </c>
      <c r="B45" t="s">
        <v>49</v>
      </c>
      <c r="C45" s="3">
        <v>16658.91</v>
      </c>
      <c r="D45" s="3">
        <v>3.8115000000000001</v>
      </c>
      <c r="E45" s="3">
        <v>14252.21</v>
      </c>
      <c r="F45" s="3">
        <v>3.2561</v>
      </c>
      <c r="G45" s="3">
        <v>-14.45</v>
      </c>
    </row>
    <row r="46" spans="1:7">
      <c r="A46" s="2">
        <v>45</v>
      </c>
      <c r="B46" t="s">
        <v>50</v>
      </c>
      <c r="C46" s="3">
        <v>0</v>
      </c>
      <c r="D46" s="3">
        <v>0</v>
      </c>
      <c r="E46" s="3">
        <v>0.02</v>
      </c>
      <c r="F46" s="3">
        <v>0</v>
      </c>
      <c r="G46" s="3">
        <v>565.24</v>
      </c>
    </row>
    <row r="47" spans="1:7">
      <c r="A47" s="2">
        <v>46</v>
      </c>
      <c r="B47" t="s">
        <v>51</v>
      </c>
      <c r="C47" s="3">
        <v>0.01</v>
      </c>
      <c r="D47" s="3">
        <v>0</v>
      </c>
      <c r="E47" s="3">
        <v>0.06</v>
      </c>
      <c r="F47" s="3">
        <v>0</v>
      </c>
      <c r="G47" s="3">
        <v>367.32</v>
      </c>
    </row>
    <row r="48" spans="1:7">
      <c r="A48" s="2">
        <v>47</v>
      </c>
      <c r="B48" t="s">
        <v>52</v>
      </c>
      <c r="C48" s="3">
        <v>1218.8599999999999</v>
      </c>
      <c r="D48" s="3">
        <v>0.27889999999999998</v>
      </c>
      <c r="E48" s="3">
        <v>1471.65</v>
      </c>
      <c r="F48" s="3">
        <v>0.3362</v>
      </c>
      <c r="G48" s="3">
        <v>20.74</v>
      </c>
    </row>
    <row r="49" spans="1:7">
      <c r="A49" s="2">
        <v>48</v>
      </c>
      <c r="B49" t="s">
        <v>53</v>
      </c>
      <c r="C49" s="3">
        <v>27.95</v>
      </c>
      <c r="D49" s="3">
        <v>6.4000000000000003E-3</v>
      </c>
      <c r="E49" s="3">
        <v>36.93</v>
      </c>
      <c r="F49" s="3">
        <v>8.3999999999999995E-3</v>
      </c>
      <c r="G49" s="3">
        <v>32.119999999999997</v>
      </c>
    </row>
    <row r="50" spans="1:7">
      <c r="A50" s="2">
        <v>49</v>
      </c>
      <c r="B50" t="s">
        <v>54</v>
      </c>
      <c r="C50" s="3">
        <v>580.69000000000005</v>
      </c>
      <c r="D50" s="3">
        <v>0.13289999999999999</v>
      </c>
      <c r="E50" s="3">
        <v>562.9</v>
      </c>
      <c r="F50" s="3">
        <v>0.12859999999999999</v>
      </c>
      <c r="G50" s="3">
        <v>-3.06</v>
      </c>
    </row>
    <row r="51" spans="1:7">
      <c r="A51" s="2">
        <v>50</v>
      </c>
      <c r="B51" t="s">
        <v>55</v>
      </c>
      <c r="C51" s="3">
        <v>176.03</v>
      </c>
      <c r="D51" s="3">
        <v>4.0300000000000002E-2</v>
      </c>
      <c r="E51" s="3">
        <v>178.39</v>
      </c>
      <c r="F51" s="3">
        <v>4.0800000000000003E-2</v>
      </c>
      <c r="G51" s="3">
        <v>1.34</v>
      </c>
    </row>
    <row r="52" spans="1:7">
      <c r="A52" s="2">
        <v>51</v>
      </c>
      <c r="B52" t="s">
        <v>56</v>
      </c>
      <c r="C52" s="3">
        <v>0.23</v>
      </c>
      <c r="D52" s="3">
        <v>1E-4</v>
      </c>
      <c r="E52" s="3">
        <v>0.13</v>
      </c>
      <c r="F52" s="3">
        <v>0</v>
      </c>
      <c r="G52" s="3">
        <v>-44.15</v>
      </c>
    </row>
    <row r="53" spans="1:7">
      <c r="A53" s="2">
        <v>52</v>
      </c>
      <c r="B53" t="s">
        <v>57</v>
      </c>
      <c r="C53" s="3">
        <v>183.82</v>
      </c>
      <c r="D53" s="3">
        <v>4.2099999999999999E-2</v>
      </c>
      <c r="E53" s="3">
        <v>223.87</v>
      </c>
      <c r="F53" s="3">
        <v>5.11E-2</v>
      </c>
      <c r="G53" s="3">
        <v>21.79</v>
      </c>
    </row>
    <row r="54" spans="1:7">
      <c r="A54" s="2">
        <v>53</v>
      </c>
      <c r="B54" t="s">
        <v>58</v>
      </c>
      <c r="C54" s="3">
        <v>685.53</v>
      </c>
      <c r="D54" s="3">
        <v>0.15679999999999999</v>
      </c>
      <c r="E54" s="3">
        <v>989.52</v>
      </c>
      <c r="F54" s="3">
        <v>0.2261</v>
      </c>
      <c r="G54" s="3">
        <v>44.34</v>
      </c>
    </row>
    <row r="55" spans="1:7">
      <c r="A55" s="2">
        <v>54</v>
      </c>
      <c r="B55" t="s">
        <v>59</v>
      </c>
      <c r="C55" s="3">
        <v>233.3</v>
      </c>
      <c r="D55" s="3">
        <v>5.3400000000000003E-2</v>
      </c>
      <c r="E55" s="3">
        <v>335.76</v>
      </c>
      <c r="F55" s="3">
        <v>7.6700000000000004E-2</v>
      </c>
      <c r="G55" s="3">
        <v>43.92</v>
      </c>
    </row>
    <row r="56" spans="1:7">
      <c r="A56" s="2">
        <v>55</v>
      </c>
      <c r="B56" t="s">
        <v>60</v>
      </c>
      <c r="C56" s="3">
        <v>40.46</v>
      </c>
      <c r="D56" s="3">
        <v>9.2999999999999992E-3</v>
      </c>
      <c r="E56" s="3">
        <v>15.27</v>
      </c>
      <c r="F56" s="3">
        <v>3.5000000000000001E-3</v>
      </c>
      <c r="G56" s="3">
        <v>-62.26</v>
      </c>
    </row>
    <row r="57" spans="1:7">
      <c r="A57" s="2">
        <v>56</v>
      </c>
      <c r="B57" t="s">
        <v>61</v>
      </c>
      <c r="C57" s="3">
        <v>0</v>
      </c>
      <c r="D57" s="3">
        <v>0</v>
      </c>
      <c r="E57" s="3">
        <v>0.28999999999999998</v>
      </c>
      <c r="F57" s="3">
        <v>1E-4</v>
      </c>
      <c r="G57" s="3">
        <v>0</v>
      </c>
    </row>
    <row r="58" spans="1:7">
      <c r="A58" s="2">
        <v>57</v>
      </c>
      <c r="B58" t="s">
        <v>62</v>
      </c>
      <c r="C58" s="3">
        <v>94.92</v>
      </c>
      <c r="D58" s="3">
        <v>2.1700000000000001E-2</v>
      </c>
      <c r="E58" s="3">
        <v>89.92</v>
      </c>
      <c r="F58" s="3">
        <v>2.0500000000000001E-2</v>
      </c>
      <c r="G58" s="3">
        <v>-5.26</v>
      </c>
    </row>
    <row r="59" spans="1:7">
      <c r="A59" s="2">
        <v>58</v>
      </c>
      <c r="B59" t="s">
        <v>63</v>
      </c>
      <c r="C59" s="3">
        <v>1389.79</v>
      </c>
      <c r="D59" s="3">
        <v>0.318</v>
      </c>
      <c r="E59" s="3">
        <v>2062.69</v>
      </c>
      <c r="F59" s="3">
        <v>0.4713</v>
      </c>
      <c r="G59" s="3">
        <v>48.42</v>
      </c>
    </row>
    <row r="60" spans="1:7">
      <c r="A60" s="2">
        <v>59</v>
      </c>
      <c r="B60" t="s">
        <v>64</v>
      </c>
      <c r="C60" s="3">
        <v>856.24</v>
      </c>
      <c r="D60" s="3">
        <v>0.19589999999999999</v>
      </c>
      <c r="E60" s="3">
        <v>871.41</v>
      </c>
      <c r="F60" s="3">
        <v>0.1991</v>
      </c>
      <c r="G60" s="3">
        <v>1.77</v>
      </c>
    </row>
    <row r="61" spans="1:7">
      <c r="A61" s="2">
        <v>60</v>
      </c>
      <c r="B61" t="s">
        <v>65</v>
      </c>
      <c r="C61" s="3">
        <v>1143.58</v>
      </c>
      <c r="D61" s="3">
        <v>0.2616</v>
      </c>
      <c r="E61" s="3">
        <v>677.24</v>
      </c>
      <c r="F61" s="3">
        <v>0.1547</v>
      </c>
      <c r="G61" s="3">
        <v>-40.78</v>
      </c>
    </row>
    <row r="62" spans="1:7">
      <c r="A62" s="2">
        <v>61</v>
      </c>
      <c r="B62" t="s">
        <v>66</v>
      </c>
      <c r="C62" s="3">
        <v>347</v>
      </c>
      <c r="D62" s="3">
        <v>7.9399999999999998E-2</v>
      </c>
      <c r="E62" s="3">
        <v>381.67</v>
      </c>
      <c r="F62" s="3">
        <v>8.72E-2</v>
      </c>
      <c r="G62" s="3">
        <v>9.99</v>
      </c>
    </row>
    <row r="63" spans="1:7">
      <c r="A63" s="2">
        <v>62</v>
      </c>
      <c r="B63" t="s">
        <v>67</v>
      </c>
      <c r="C63" s="3">
        <v>2.5299999999999998</v>
      </c>
      <c r="D63" s="3">
        <v>5.9999999999999995E-4</v>
      </c>
      <c r="E63" s="3">
        <v>6.59</v>
      </c>
      <c r="F63" s="3">
        <v>1.5E-3</v>
      </c>
      <c r="G63" s="3">
        <v>160.51</v>
      </c>
    </row>
    <row r="64" spans="1:7">
      <c r="A64" s="2">
        <v>63</v>
      </c>
      <c r="B64" t="s">
        <v>68</v>
      </c>
      <c r="C64" s="3">
        <v>459.21</v>
      </c>
      <c r="D64" s="3">
        <v>0.1051</v>
      </c>
      <c r="E64" s="3">
        <v>316.69</v>
      </c>
      <c r="F64" s="3">
        <v>7.2400000000000006E-2</v>
      </c>
      <c r="G64" s="3">
        <v>-31.03</v>
      </c>
    </row>
    <row r="65" spans="1:7">
      <c r="A65" s="2">
        <v>64</v>
      </c>
      <c r="B65" t="s">
        <v>69</v>
      </c>
      <c r="C65" s="3">
        <v>3520.62</v>
      </c>
      <c r="D65" s="3">
        <v>0.80549999999999999</v>
      </c>
      <c r="E65" s="3">
        <v>3411.36</v>
      </c>
      <c r="F65" s="3">
        <v>0.77939999999999998</v>
      </c>
      <c r="G65" s="3">
        <v>-3.1</v>
      </c>
    </row>
    <row r="66" spans="1:7">
      <c r="A66" s="2">
        <v>65</v>
      </c>
      <c r="B66" t="s">
        <v>70</v>
      </c>
      <c r="C66" s="3">
        <v>128.91</v>
      </c>
      <c r="D66" s="3">
        <v>2.9499999999999998E-2</v>
      </c>
      <c r="E66" s="3">
        <v>149.09</v>
      </c>
      <c r="F66" s="3">
        <v>3.4099999999999998E-2</v>
      </c>
      <c r="G66" s="3">
        <v>15.66</v>
      </c>
    </row>
    <row r="67" spans="1:7">
      <c r="A67" s="2">
        <v>66</v>
      </c>
      <c r="B67" t="s">
        <v>71</v>
      </c>
      <c r="C67" s="3">
        <v>26.79</v>
      </c>
      <c r="D67" s="3">
        <v>6.1000000000000004E-3</v>
      </c>
      <c r="E67" s="3">
        <v>19.18</v>
      </c>
      <c r="F67" s="3">
        <v>4.4000000000000003E-3</v>
      </c>
      <c r="G67" s="3">
        <v>-28.4</v>
      </c>
    </row>
    <row r="68" spans="1:7">
      <c r="A68" s="2">
        <v>67</v>
      </c>
      <c r="B68" t="s">
        <v>72</v>
      </c>
      <c r="C68" s="3">
        <v>10.050000000000001</v>
      </c>
      <c r="D68" s="3">
        <v>2.3E-3</v>
      </c>
      <c r="E68" s="3">
        <v>19</v>
      </c>
      <c r="F68" s="3">
        <v>4.3E-3</v>
      </c>
      <c r="G68" s="3">
        <v>88.99</v>
      </c>
    </row>
    <row r="69" spans="1:7">
      <c r="A69" s="2">
        <v>68</v>
      </c>
      <c r="B69" t="s">
        <v>73</v>
      </c>
      <c r="C69" s="3">
        <v>77.290000000000006</v>
      </c>
      <c r="D69" s="3">
        <v>1.77E-2</v>
      </c>
      <c r="E69" s="3">
        <v>69.66</v>
      </c>
      <c r="F69" s="3">
        <v>1.5900000000000001E-2</v>
      </c>
      <c r="G69" s="3">
        <v>-9.8800000000000008</v>
      </c>
    </row>
    <row r="70" spans="1:7">
      <c r="A70" s="2">
        <v>69</v>
      </c>
      <c r="B70" t="s">
        <v>74</v>
      </c>
      <c r="C70" s="3">
        <v>489.59</v>
      </c>
      <c r="D70" s="3">
        <v>0.112</v>
      </c>
      <c r="E70" s="3">
        <v>476.81</v>
      </c>
      <c r="F70" s="3">
        <v>0.1089</v>
      </c>
      <c r="G70" s="3">
        <v>-2.61</v>
      </c>
    </row>
    <row r="71" spans="1:7">
      <c r="A71" s="2">
        <v>70</v>
      </c>
      <c r="B71" t="s">
        <v>75</v>
      </c>
      <c r="C71" s="3">
        <v>0</v>
      </c>
      <c r="D71" s="3">
        <v>0</v>
      </c>
      <c r="E71" s="3">
        <v>0.01</v>
      </c>
      <c r="F71" s="3">
        <v>0</v>
      </c>
      <c r="G71" s="3">
        <v>0</v>
      </c>
    </row>
    <row r="72" spans="1:7">
      <c r="A72" s="2">
        <v>71</v>
      </c>
      <c r="B72" t="s">
        <v>76</v>
      </c>
      <c r="C72" s="3">
        <v>5.94</v>
      </c>
      <c r="D72" s="3">
        <v>1.4E-3</v>
      </c>
      <c r="E72" s="3">
        <v>12.67</v>
      </c>
      <c r="F72" s="3">
        <v>2.8999999999999998E-3</v>
      </c>
      <c r="G72" s="3">
        <v>113.27</v>
      </c>
    </row>
    <row r="73" spans="1:7">
      <c r="A73" s="2">
        <v>72</v>
      </c>
      <c r="B73" t="s">
        <v>77</v>
      </c>
      <c r="C73" s="3">
        <v>76.28</v>
      </c>
      <c r="D73" s="3">
        <v>1.7500000000000002E-2</v>
      </c>
      <c r="E73" s="3">
        <v>84.67</v>
      </c>
      <c r="F73" s="3">
        <v>1.9300000000000001E-2</v>
      </c>
      <c r="G73" s="3">
        <v>11</v>
      </c>
    </row>
    <row r="74" spans="1:7">
      <c r="A74" s="2">
        <v>73</v>
      </c>
      <c r="B74" t="s">
        <v>78</v>
      </c>
      <c r="C74" s="3">
        <v>582.52</v>
      </c>
      <c r="D74" s="3">
        <v>0.1333</v>
      </c>
      <c r="E74" s="3">
        <v>471.82</v>
      </c>
      <c r="F74" s="3">
        <v>0.10780000000000001</v>
      </c>
      <c r="G74" s="3">
        <v>-19</v>
      </c>
    </row>
    <row r="75" spans="1:7">
      <c r="A75" s="2">
        <v>74</v>
      </c>
      <c r="B75" t="s">
        <v>79</v>
      </c>
      <c r="C75" s="3">
        <v>1.47</v>
      </c>
      <c r="D75" s="3">
        <v>2.9999999999999997E-4</v>
      </c>
      <c r="E75" s="3">
        <v>1.51</v>
      </c>
      <c r="F75" s="3">
        <v>2.9999999999999997E-4</v>
      </c>
      <c r="G75" s="3">
        <v>2.95</v>
      </c>
    </row>
    <row r="76" spans="1:7">
      <c r="A76" s="2">
        <v>75</v>
      </c>
      <c r="B76" t="s">
        <v>80</v>
      </c>
      <c r="C76" s="3">
        <v>12</v>
      </c>
      <c r="D76" s="3">
        <v>2.7000000000000001E-3</v>
      </c>
      <c r="E76" s="3">
        <v>12.52</v>
      </c>
      <c r="F76" s="3">
        <v>2.8999999999999998E-3</v>
      </c>
      <c r="G76" s="3">
        <v>4.3600000000000003</v>
      </c>
    </row>
    <row r="77" spans="1:7">
      <c r="A77" s="2">
        <v>76</v>
      </c>
      <c r="B77" t="s">
        <v>81</v>
      </c>
      <c r="C77" s="3">
        <v>7141.09</v>
      </c>
      <c r="D77" s="3">
        <v>1.6337999999999999</v>
      </c>
      <c r="E77" s="3">
        <v>7960.06</v>
      </c>
      <c r="F77" s="3">
        <v>1.8186</v>
      </c>
      <c r="G77" s="3">
        <v>11.47</v>
      </c>
    </row>
    <row r="78" spans="1:7">
      <c r="A78" s="2">
        <v>77</v>
      </c>
      <c r="B78" t="s">
        <v>82</v>
      </c>
      <c r="C78" s="3">
        <v>72.67</v>
      </c>
      <c r="D78" s="3">
        <v>1.66E-2</v>
      </c>
      <c r="E78" s="3">
        <v>94.12</v>
      </c>
      <c r="F78" s="3">
        <v>2.1499999999999998E-2</v>
      </c>
      <c r="G78" s="3">
        <v>29.51</v>
      </c>
    </row>
    <row r="79" spans="1:7">
      <c r="A79" s="2">
        <v>78</v>
      </c>
      <c r="B79" t="s">
        <v>83</v>
      </c>
      <c r="C79" s="3">
        <v>175.95</v>
      </c>
      <c r="D79" s="3">
        <v>4.0300000000000002E-2</v>
      </c>
      <c r="E79" s="3">
        <v>116.16</v>
      </c>
      <c r="F79" s="3">
        <v>2.6499999999999999E-2</v>
      </c>
      <c r="G79" s="3">
        <v>-33.979999999999997</v>
      </c>
    </row>
    <row r="80" spans="1:7">
      <c r="A80" s="2">
        <v>79</v>
      </c>
      <c r="B80" t="s">
        <v>84</v>
      </c>
      <c r="C80" s="3">
        <v>197.49</v>
      </c>
      <c r="D80" s="3">
        <v>4.5199999999999997E-2</v>
      </c>
      <c r="E80" s="3">
        <v>288.98</v>
      </c>
      <c r="F80" s="3">
        <v>6.6000000000000003E-2</v>
      </c>
      <c r="G80" s="3">
        <v>46.33</v>
      </c>
    </row>
    <row r="81" spans="1:7">
      <c r="A81" s="2">
        <v>80</v>
      </c>
      <c r="B81" t="s">
        <v>85</v>
      </c>
      <c r="C81" s="3">
        <v>9839.6299999999992</v>
      </c>
      <c r="D81" s="3">
        <v>2.2513000000000001</v>
      </c>
      <c r="E81" s="3">
        <v>10628.61</v>
      </c>
      <c r="F81" s="3">
        <v>2.4283000000000001</v>
      </c>
      <c r="G81" s="3">
        <v>8.02</v>
      </c>
    </row>
    <row r="82" spans="1:7">
      <c r="A82" s="2">
        <v>81</v>
      </c>
      <c r="B82" t="s">
        <v>86</v>
      </c>
      <c r="C82" s="3">
        <v>1098.8800000000001</v>
      </c>
      <c r="D82" s="3">
        <v>0.25140000000000001</v>
      </c>
      <c r="E82" s="3">
        <v>1346.75</v>
      </c>
      <c r="F82" s="3">
        <v>0.30769999999999997</v>
      </c>
      <c r="G82" s="3">
        <v>22.56</v>
      </c>
    </row>
    <row r="83" spans="1:7">
      <c r="A83" s="2">
        <v>82</v>
      </c>
      <c r="B83" t="s">
        <v>87</v>
      </c>
      <c r="C83" s="3">
        <v>829.43</v>
      </c>
      <c r="D83" s="3">
        <v>0.1898</v>
      </c>
      <c r="E83" s="3">
        <v>26.67</v>
      </c>
      <c r="F83" s="3">
        <v>6.1000000000000004E-3</v>
      </c>
      <c r="G83" s="3">
        <v>-96.78</v>
      </c>
    </row>
    <row r="84" spans="1:7">
      <c r="A84" s="2">
        <v>83</v>
      </c>
      <c r="B84" t="s">
        <v>88</v>
      </c>
      <c r="C84" s="3">
        <v>1055.17</v>
      </c>
      <c r="D84" s="3">
        <v>0.2414</v>
      </c>
      <c r="E84" s="3">
        <v>1056.17</v>
      </c>
      <c r="F84" s="3">
        <v>0.24129999999999999</v>
      </c>
      <c r="G84" s="3">
        <v>0.09</v>
      </c>
    </row>
    <row r="85" spans="1:7">
      <c r="A85" s="2">
        <v>84</v>
      </c>
      <c r="B85" t="s">
        <v>89</v>
      </c>
      <c r="C85" s="3">
        <v>0.23</v>
      </c>
      <c r="D85" s="3">
        <v>1E-4</v>
      </c>
      <c r="E85" s="3">
        <v>0.03</v>
      </c>
      <c r="F85" s="3">
        <v>0</v>
      </c>
      <c r="G85" s="3">
        <v>-86.19</v>
      </c>
    </row>
    <row r="86" spans="1:7">
      <c r="A86" s="2">
        <v>85</v>
      </c>
      <c r="B86" t="s">
        <v>90</v>
      </c>
      <c r="C86" s="3">
        <v>4.4000000000000004</v>
      </c>
      <c r="D86" s="3">
        <v>1E-3</v>
      </c>
      <c r="E86" s="3">
        <v>4.45</v>
      </c>
      <c r="F86" s="3">
        <v>1E-3</v>
      </c>
      <c r="G86" s="3">
        <v>1.21</v>
      </c>
    </row>
    <row r="87" spans="1:7">
      <c r="A87" s="2">
        <v>86</v>
      </c>
      <c r="B87" t="s">
        <v>91</v>
      </c>
      <c r="C87" s="3">
        <v>4.6100000000000003</v>
      </c>
      <c r="D87" s="3">
        <v>1.1000000000000001E-3</v>
      </c>
      <c r="E87" s="3">
        <v>5.29</v>
      </c>
      <c r="F87" s="3">
        <v>1.1999999999999999E-3</v>
      </c>
      <c r="G87" s="3">
        <v>14.65</v>
      </c>
    </row>
    <row r="88" spans="1:7">
      <c r="A88" s="2">
        <v>87</v>
      </c>
      <c r="B88" t="s">
        <v>92</v>
      </c>
      <c r="C88" s="3">
        <v>0.85</v>
      </c>
      <c r="D88" s="3">
        <v>2.0000000000000001E-4</v>
      </c>
      <c r="E88" s="3">
        <v>1.21</v>
      </c>
      <c r="F88" s="3">
        <v>2.9999999999999997E-4</v>
      </c>
      <c r="G88" s="3">
        <v>43.13</v>
      </c>
    </row>
    <row r="89" spans="1:7">
      <c r="A89" s="2">
        <v>88</v>
      </c>
      <c r="B89" t="s">
        <v>93</v>
      </c>
      <c r="C89" s="3">
        <v>559.04999999999995</v>
      </c>
      <c r="D89" s="3">
        <v>0.12790000000000001</v>
      </c>
      <c r="E89" s="3">
        <v>633.92999999999995</v>
      </c>
      <c r="F89" s="3">
        <v>0.14480000000000001</v>
      </c>
      <c r="G89" s="3">
        <v>13.39</v>
      </c>
    </row>
    <row r="90" spans="1:7">
      <c r="A90" s="2">
        <v>89</v>
      </c>
      <c r="B90" t="s">
        <v>94</v>
      </c>
      <c r="C90" s="3">
        <v>0</v>
      </c>
      <c r="D90" s="3">
        <v>0</v>
      </c>
      <c r="E90" s="3">
        <v>0</v>
      </c>
      <c r="F90" s="3">
        <v>0</v>
      </c>
      <c r="G90" s="3">
        <v>0</v>
      </c>
    </row>
    <row r="91" spans="1:7">
      <c r="A91" s="2">
        <v>90</v>
      </c>
      <c r="B91" t="s">
        <v>95</v>
      </c>
      <c r="C91" s="3">
        <v>696.48</v>
      </c>
      <c r="D91" s="3">
        <v>0.15939999999999999</v>
      </c>
      <c r="E91" s="3">
        <v>901.08</v>
      </c>
      <c r="F91" s="3">
        <v>0.2059</v>
      </c>
      <c r="G91" s="3">
        <v>29.38</v>
      </c>
    </row>
    <row r="92" spans="1:7">
      <c r="A92" s="2">
        <v>91</v>
      </c>
      <c r="B92" t="s">
        <v>96</v>
      </c>
      <c r="C92" s="3">
        <v>6.98</v>
      </c>
      <c r="D92" s="3">
        <v>1.6000000000000001E-3</v>
      </c>
      <c r="E92" s="3">
        <v>22.42</v>
      </c>
      <c r="F92" s="3">
        <v>5.1000000000000004E-3</v>
      </c>
      <c r="G92" s="3">
        <v>220.98</v>
      </c>
    </row>
    <row r="93" spans="1:7">
      <c r="A93" s="2">
        <v>92</v>
      </c>
      <c r="B93" t="s">
        <v>97</v>
      </c>
      <c r="C93" s="3">
        <v>99.36</v>
      </c>
      <c r="D93" s="3">
        <v>2.2700000000000001E-2</v>
      </c>
      <c r="E93" s="3">
        <v>92.59</v>
      </c>
      <c r="F93" s="3">
        <v>2.12E-2</v>
      </c>
      <c r="G93" s="3">
        <v>-6.82</v>
      </c>
    </row>
    <row r="94" spans="1:7">
      <c r="A94" s="2">
        <v>93</v>
      </c>
      <c r="B94" t="s">
        <v>98</v>
      </c>
      <c r="C94" s="3">
        <v>105.54</v>
      </c>
      <c r="D94" s="3">
        <v>2.41E-2</v>
      </c>
      <c r="E94" s="3">
        <v>89.03</v>
      </c>
      <c r="F94" s="3">
        <v>2.0299999999999999E-2</v>
      </c>
      <c r="G94" s="3">
        <v>-15.64</v>
      </c>
    </row>
    <row r="95" spans="1:7">
      <c r="A95" s="2">
        <v>94</v>
      </c>
      <c r="B95" t="s">
        <v>99</v>
      </c>
      <c r="C95" s="3">
        <v>265.93</v>
      </c>
      <c r="D95" s="3">
        <v>6.08E-2</v>
      </c>
      <c r="E95" s="3">
        <v>274.47000000000003</v>
      </c>
      <c r="F95" s="3">
        <v>6.2700000000000006E-2</v>
      </c>
      <c r="G95" s="3">
        <v>3.22</v>
      </c>
    </row>
    <row r="96" spans="1:7">
      <c r="A96" s="2">
        <v>95</v>
      </c>
      <c r="B96" t="s">
        <v>100</v>
      </c>
      <c r="C96" s="3">
        <v>8243.93</v>
      </c>
      <c r="D96" s="3">
        <v>1.8862000000000001</v>
      </c>
      <c r="E96" s="3">
        <v>6066.71</v>
      </c>
      <c r="F96" s="3">
        <v>1.3859999999999999</v>
      </c>
      <c r="G96" s="3">
        <v>-26.41</v>
      </c>
    </row>
    <row r="97" spans="1:7">
      <c r="A97" s="2">
        <v>96</v>
      </c>
      <c r="B97" t="s">
        <v>101</v>
      </c>
      <c r="C97" s="3">
        <v>561.46</v>
      </c>
      <c r="D97" s="3">
        <v>0.1285</v>
      </c>
      <c r="E97" s="3">
        <v>533.65</v>
      </c>
      <c r="F97" s="3">
        <v>0.12189999999999999</v>
      </c>
      <c r="G97" s="3">
        <v>-4.95</v>
      </c>
    </row>
    <row r="98" spans="1:7">
      <c r="A98" s="2">
        <v>97</v>
      </c>
      <c r="B98" t="s">
        <v>102</v>
      </c>
      <c r="C98" s="3">
        <v>12.16</v>
      </c>
      <c r="D98" s="3">
        <v>2.8E-3</v>
      </c>
      <c r="E98" s="3">
        <v>66.010000000000005</v>
      </c>
      <c r="F98" s="3">
        <v>1.5100000000000001E-2</v>
      </c>
      <c r="G98" s="3">
        <v>442.71</v>
      </c>
    </row>
    <row r="99" spans="1:7">
      <c r="A99" s="2">
        <v>98</v>
      </c>
      <c r="B99" t="s">
        <v>103</v>
      </c>
      <c r="C99" s="3">
        <v>5988.88</v>
      </c>
      <c r="D99" s="3">
        <v>1.3702000000000001</v>
      </c>
      <c r="E99" s="3">
        <v>5380.18</v>
      </c>
      <c r="F99" s="3">
        <v>1.2292000000000001</v>
      </c>
      <c r="G99" s="3">
        <v>-10.16</v>
      </c>
    </row>
    <row r="100" spans="1:7">
      <c r="A100" s="2">
        <v>99</v>
      </c>
      <c r="B100" t="s">
        <v>104</v>
      </c>
      <c r="C100" s="3">
        <v>0</v>
      </c>
      <c r="D100" s="3">
        <v>0</v>
      </c>
      <c r="E100" s="3">
        <v>0</v>
      </c>
      <c r="F100" s="3">
        <v>0</v>
      </c>
      <c r="G100" s="3">
        <v>0</v>
      </c>
    </row>
    <row r="101" spans="1:7">
      <c r="A101" s="2">
        <v>100</v>
      </c>
      <c r="B101" t="s">
        <v>105</v>
      </c>
      <c r="C101" s="3">
        <v>1222.26</v>
      </c>
      <c r="D101" s="3">
        <v>0.27960000000000002</v>
      </c>
      <c r="E101" s="3">
        <v>1241.1500000000001</v>
      </c>
      <c r="F101" s="3">
        <v>0.28360000000000002</v>
      </c>
      <c r="G101" s="3">
        <v>1.55</v>
      </c>
    </row>
    <row r="102" spans="1:7">
      <c r="A102" s="2">
        <v>101</v>
      </c>
      <c r="B102" t="s">
        <v>106</v>
      </c>
      <c r="C102" s="3">
        <v>3354.73</v>
      </c>
      <c r="D102" s="3">
        <v>0.76749999999999996</v>
      </c>
      <c r="E102" s="3">
        <v>3272.52</v>
      </c>
      <c r="F102" s="3">
        <v>0.74770000000000003</v>
      </c>
      <c r="G102" s="3">
        <v>-2.4500000000000002</v>
      </c>
    </row>
    <row r="103" spans="1:7">
      <c r="A103" s="2">
        <v>102</v>
      </c>
      <c r="B103" t="s">
        <v>107</v>
      </c>
      <c r="C103" s="3">
        <v>702.73</v>
      </c>
      <c r="D103" s="3">
        <v>0.1608</v>
      </c>
      <c r="E103" s="3">
        <v>864.67</v>
      </c>
      <c r="F103" s="3">
        <v>0.19750000000000001</v>
      </c>
      <c r="G103" s="3">
        <v>23.04</v>
      </c>
    </row>
    <row r="104" spans="1:7">
      <c r="A104" s="2">
        <v>103</v>
      </c>
      <c r="B104" t="s">
        <v>108</v>
      </c>
      <c r="C104" s="3">
        <v>4525.92</v>
      </c>
      <c r="D104" s="3">
        <v>1.0355000000000001</v>
      </c>
      <c r="E104" s="3">
        <v>2145.0100000000002</v>
      </c>
      <c r="F104" s="3">
        <v>0.49009999999999998</v>
      </c>
      <c r="G104" s="3">
        <v>-52.61</v>
      </c>
    </row>
    <row r="105" spans="1:7">
      <c r="A105" s="2">
        <v>104</v>
      </c>
      <c r="B105" t="s">
        <v>109</v>
      </c>
      <c r="C105" s="3">
        <v>8765.7800000000007</v>
      </c>
      <c r="D105" s="3">
        <v>2.0055999999999998</v>
      </c>
      <c r="E105" s="3">
        <v>7727.33</v>
      </c>
      <c r="F105" s="3">
        <v>1.7654000000000001</v>
      </c>
      <c r="G105" s="3">
        <v>-11.85</v>
      </c>
    </row>
    <row r="106" spans="1:7">
      <c r="A106" s="2">
        <v>105</v>
      </c>
      <c r="B106" t="s">
        <v>110</v>
      </c>
      <c r="C106" s="3">
        <v>109.15</v>
      </c>
      <c r="D106" s="3">
        <v>2.5000000000000001E-2</v>
      </c>
      <c r="E106" s="3">
        <v>93.01</v>
      </c>
      <c r="F106" s="3">
        <v>2.12E-2</v>
      </c>
      <c r="G106" s="3">
        <v>-14.79</v>
      </c>
    </row>
    <row r="107" spans="1:7">
      <c r="A107" s="2">
        <v>106</v>
      </c>
      <c r="B107" t="s">
        <v>111</v>
      </c>
      <c r="C107" s="3">
        <v>5156.28</v>
      </c>
      <c r="D107" s="3">
        <v>1.1797</v>
      </c>
      <c r="E107" s="3">
        <v>6249.32</v>
      </c>
      <c r="F107" s="3">
        <v>1.4277</v>
      </c>
      <c r="G107" s="3">
        <v>21.2</v>
      </c>
    </row>
    <row r="108" spans="1:7">
      <c r="A108" s="2">
        <v>107</v>
      </c>
      <c r="B108" t="s">
        <v>112</v>
      </c>
      <c r="C108" s="3">
        <v>0</v>
      </c>
      <c r="D108" s="3">
        <v>0</v>
      </c>
      <c r="E108" s="3">
        <v>0</v>
      </c>
      <c r="F108" s="3">
        <v>0</v>
      </c>
      <c r="G108" s="3">
        <v>6532.52</v>
      </c>
    </row>
    <row r="109" spans="1:7">
      <c r="A109" s="2">
        <v>108</v>
      </c>
      <c r="B109" t="s">
        <v>113</v>
      </c>
      <c r="C109" s="3">
        <v>1465.26</v>
      </c>
      <c r="D109" s="3">
        <v>0.3352</v>
      </c>
      <c r="E109" s="3">
        <v>755.14</v>
      </c>
      <c r="F109" s="3">
        <v>0.17249999999999999</v>
      </c>
      <c r="G109" s="3">
        <v>-48.46</v>
      </c>
    </row>
    <row r="110" spans="1:7">
      <c r="A110" s="2">
        <v>109</v>
      </c>
      <c r="B110" t="s">
        <v>114</v>
      </c>
      <c r="C110" s="3">
        <v>236.56</v>
      </c>
      <c r="D110" s="3">
        <v>5.4100000000000002E-2</v>
      </c>
      <c r="E110" s="3">
        <v>262.98</v>
      </c>
      <c r="F110" s="3">
        <v>6.0100000000000001E-2</v>
      </c>
      <c r="G110" s="3">
        <v>11.17</v>
      </c>
    </row>
    <row r="111" spans="1:7">
      <c r="A111" s="2">
        <v>110</v>
      </c>
      <c r="B111" t="s">
        <v>115</v>
      </c>
      <c r="C111" s="3">
        <v>3174.83</v>
      </c>
      <c r="D111" s="3">
        <v>0.72640000000000005</v>
      </c>
      <c r="E111" s="3">
        <v>3134.05</v>
      </c>
      <c r="F111" s="3">
        <v>0.71599999999999997</v>
      </c>
      <c r="G111" s="3">
        <v>-1.28</v>
      </c>
    </row>
    <row r="112" spans="1:7">
      <c r="A112" s="2">
        <v>111</v>
      </c>
      <c r="B112" t="s">
        <v>116</v>
      </c>
      <c r="C112" s="3">
        <v>1.04</v>
      </c>
      <c r="D112" s="3">
        <v>2.0000000000000001E-4</v>
      </c>
      <c r="E112" s="3">
        <v>3.89</v>
      </c>
      <c r="F112" s="3">
        <v>8.9999999999999998E-4</v>
      </c>
      <c r="G112" s="3">
        <v>275.73</v>
      </c>
    </row>
    <row r="113" spans="1:7">
      <c r="A113" s="2">
        <v>112</v>
      </c>
      <c r="B113" t="s">
        <v>117</v>
      </c>
      <c r="C113" s="3">
        <v>2.04</v>
      </c>
      <c r="D113" s="3">
        <v>5.0000000000000001E-4</v>
      </c>
      <c r="E113" s="3">
        <v>2.61</v>
      </c>
      <c r="F113" s="3">
        <v>5.9999999999999995E-4</v>
      </c>
      <c r="G113" s="3">
        <v>27.82</v>
      </c>
    </row>
    <row r="114" spans="1:7">
      <c r="A114" s="2">
        <v>113</v>
      </c>
      <c r="B114" t="s">
        <v>118</v>
      </c>
      <c r="C114" s="3">
        <v>6416.67</v>
      </c>
      <c r="D114" s="3">
        <v>1.4681</v>
      </c>
      <c r="E114" s="3">
        <v>5819.64</v>
      </c>
      <c r="F114" s="3">
        <v>1.3295999999999999</v>
      </c>
      <c r="G114" s="3">
        <v>-9.3000000000000007</v>
      </c>
    </row>
    <row r="115" spans="1:7">
      <c r="A115" s="2">
        <v>114</v>
      </c>
      <c r="B115" t="s">
        <v>119</v>
      </c>
      <c r="C115" s="3">
        <v>2103.2199999999998</v>
      </c>
      <c r="D115" s="3">
        <v>0.48120000000000002</v>
      </c>
      <c r="E115" s="3">
        <v>1934.81</v>
      </c>
      <c r="F115" s="3">
        <v>0.442</v>
      </c>
      <c r="G115" s="3">
        <v>-8.01</v>
      </c>
    </row>
    <row r="116" spans="1:7">
      <c r="A116" s="2">
        <v>115</v>
      </c>
      <c r="B116" t="s">
        <v>120</v>
      </c>
      <c r="C116" s="3">
        <v>45.72</v>
      </c>
      <c r="D116" s="3">
        <v>1.0500000000000001E-2</v>
      </c>
      <c r="E116" s="3">
        <v>46.26</v>
      </c>
      <c r="F116" s="3">
        <v>1.06E-2</v>
      </c>
      <c r="G116" s="3">
        <v>1.19</v>
      </c>
    </row>
    <row r="117" spans="1:7">
      <c r="A117" s="2">
        <v>116</v>
      </c>
      <c r="B117" t="s">
        <v>121</v>
      </c>
      <c r="C117" s="3">
        <v>12.88</v>
      </c>
      <c r="D117" s="3">
        <v>2.8999999999999998E-3</v>
      </c>
      <c r="E117" s="3">
        <v>12.52</v>
      </c>
      <c r="F117" s="3">
        <v>2.8999999999999998E-3</v>
      </c>
      <c r="G117" s="3">
        <v>-2.83</v>
      </c>
    </row>
    <row r="118" spans="1:7">
      <c r="A118" s="2">
        <v>117</v>
      </c>
      <c r="B118" t="s">
        <v>122</v>
      </c>
      <c r="C118" s="3">
        <v>220.49</v>
      </c>
      <c r="D118" s="3">
        <v>5.04E-2</v>
      </c>
      <c r="E118" s="3">
        <v>235.94</v>
      </c>
      <c r="F118" s="3">
        <v>5.3900000000000003E-2</v>
      </c>
      <c r="G118" s="3">
        <v>7.01</v>
      </c>
    </row>
    <row r="119" spans="1:7">
      <c r="A119" s="2">
        <v>118</v>
      </c>
      <c r="B119" t="s">
        <v>123</v>
      </c>
      <c r="C119" s="3">
        <v>344.91</v>
      </c>
      <c r="D119" s="3">
        <v>7.8899999999999998E-2</v>
      </c>
      <c r="E119" s="3">
        <v>337.05</v>
      </c>
      <c r="F119" s="3">
        <v>7.6999999999999999E-2</v>
      </c>
      <c r="G119" s="3">
        <v>-2.2799999999999998</v>
      </c>
    </row>
    <row r="120" spans="1:7">
      <c r="A120" s="2">
        <v>119</v>
      </c>
      <c r="B120" t="s">
        <v>124</v>
      </c>
      <c r="C120" s="3">
        <v>5.55</v>
      </c>
      <c r="D120" s="3">
        <v>1.2999999999999999E-3</v>
      </c>
      <c r="E120" s="3">
        <v>10.3</v>
      </c>
      <c r="F120" s="3">
        <v>2.3999999999999998E-3</v>
      </c>
      <c r="G120" s="3">
        <v>85.61</v>
      </c>
    </row>
    <row r="121" spans="1:7">
      <c r="A121" s="2">
        <v>120</v>
      </c>
      <c r="B121" t="s">
        <v>125</v>
      </c>
      <c r="C121" s="3">
        <v>243.29</v>
      </c>
      <c r="D121" s="3">
        <v>5.57E-2</v>
      </c>
      <c r="E121" s="3">
        <v>376.33</v>
      </c>
      <c r="F121" s="3">
        <v>8.5999999999999993E-2</v>
      </c>
      <c r="G121" s="3">
        <v>54.68</v>
      </c>
    </row>
    <row r="122" spans="1:7">
      <c r="A122" s="2">
        <v>121</v>
      </c>
      <c r="B122" t="s">
        <v>126</v>
      </c>
      <c r="C122" s="3">
        <v>565.12</v>
      </c>
      <c r="D122" s="3">
        <v>0.1293</v>
      </c>
      <c r="E122" s="3">
        <v>650.37</v>
      </c>
      <c r="F122" s="3">
        <v>0.14860000000000001</v>
      </c>
      <c r="G122" s="3">
        <v>15.08</v>
      </c>
    </row>
    <row r="123" spans="1:7">
      <c r="A123" s="2">
        <v>122</v>
      </c>
      <c r="B123" t="s">
        <v>127</v>
      </c>
      <c r="C123" s="3">
        <v>0.88</v>
      </c>
      <c r="D123" s="3">
        <v>2.0000000000000001E-4</v>
      </c>
      <c r="E123" s="3">
        <v>0.41</v>
      </c>
      <c r="F123" s="3">
        <v>1E-4</v>
      </c>
      <c r="G123" s="3">
        <v>-53.98</v>
      </c>
    </row>
    <row r="124" spans="1:7">
      <c r="A124" s="2">
        <v>123</v>
      </c>
      <c r="B124" t="s">
        <v>128</v>
      </c>
      <c r="C124" s="3">
        <v>314.42</v>
      </c>
      <c r="D124" s="3">
        <v>7.1900000000000006E-2</v>
      </c>
      <c r="E124" s="3">
        <v>258.06</v>
      </c>
      <c r="F124" s="3">
        <v>5.8999999999999997E-2</v>
      </c>
      <c r="G124" s="3">
        <v>-17.93</v>
      </c>
    </row>
    <row r="125" spans="1:7">
      <c r="A125" s="2">
        <v>124</v>
      </c>
      <c r="B125" t="s">
        <v>129</v>
      </c>
      <c r="C125" s="3">
        <v>39.65</v>
      </c>
      <c r="D125" s="3">
        <v>9.1000000000000004E-3</v>
      </c>
      <c r="E125" s="3">
        <v>49.9</v>
      </c>
      <c r="F125" s="3">
        <v>1.14E-2</v>
      </c>
      <c r="G125" s="3">
        <v>25.85</v>
      </c>
    </row>
    <row r="126" spans="1:7">
      <c r="A126" s="2">
        <v>125</v>
      </c>
      <c r="B126" t="s">
        <v>130</v>
      </c>
      <c r="C126" s="3">
        <v>0.96</v>
      </c>
      <c r="D126" s="3">
        <v>2.0000000000000001E-4</v>
      </c>
      <c r="E126" s="3">
        <v>1.42</v>
      </c>
      <c r="F126" s="3">
        <v>2.9999999999999997E-4</v>
      </c>
      <c r="G126" s="3">
        <v>47.92</v>
      </c>
    </row>
    <row r="127" spans="1:7">
      <c r="A127" s="2">
        <v>126</v>
      </c>
      <c r="B127" t="s">
        <v>131</v>
      </c>
      <c r="C127" s="3">
        <v>36.64</v>
      </c>
      <c r="D127" s="3">
        <v>8.3999999999999995E-3</v>
      </c>
      <c r="E127" s="3">
        <v>33.729999999999997</v>
      </c>
      <c r="F127" s="3">
        <v>7.7000000000000002E-3</v>
      </c>
      <c r="G127" s="3">
        <v>-7.94</v>
      </c>
    </row>
    <row r="128" spans="1:7">
      <c r="A128" s="2">
        <v>127</v>
      </c>
      <c r="B128" t="s">
        <v>132</v>
      </c>
      <c r="C128" s="3">
        <v>231.91</v>
      </c>
      <c r="D128" s="3">
        <v>5.3100000000000001E-2</v>
      </c>
      <c r="E128" s="3">
        <v>268.8</v>
      </c>
      <c r="F128" s="3">
        <v>6.1400000000000003E-2</v>
      </c>
      <c r="G128" s="3">
        <v>15.91</v>
      </c>
    </row>
    <row r="129" spans="1:7">
      <c r="A129" s="2">
        <v>128</v>
      </c>
      <c r="B129" t="s">
        <v>133</v>
      </c>
      <c r="C129" s="3">
        <v>87.18</v>
      </c>
      <c r="D129" s="3">
        <v>1.9900000000000001E-2</v>
      </c>
      <c r="E129" s="3">
        <v>94.56</v>
      </c>
      <c r="F129" s="3">
        <v>2.1600000000000001E-2</v>
      </c>
      <c r="G129" s="3">
        <v>8.4700000000000006</v>
      </c>
    </row>
    <row r="130" spans="1:7">
      <c r="A130" s="2">
        <v>129</v>
      </c>
      <c r="B130" t="s">
        <v>134</v>
      </c>
      <c r="C130" s="3">
        <v>7262.15</v>
      </c>
      <c r="D130" s="3">
        <v>1.6615</v>
      </c>
      <c r="E130" s="3">
        <v>7316.85</v>
      </c>
      <c r="F130" s="3">
        <v>1.6716</v>
      </c>
      <c r="G130" s="3">
        <v>0.75</v>
      </c>
    </row>
    <row r="131" spans="1:7">
      <c r="A131" s="2">
        <v>130</v>
      </c>
      <c r="B131" t="s">
        <v>135</v>
      </c>
      <c r="C131" s="3">
        <v>891.89</v>
      </c>
      <c r="D131" s="3">
        <v>0.2041</v>
      </c>
      <c r="E131" s="3">
        <v>560.88</v>
      </c>
      <c r="F131" s="3">
        <v>0.12809999999999999</v>
      </c>
      <c r="G131" s="3">
        <v>-37.11</v>
      </c>
    </row>
    <row r="132" spans="1:7">
      <c r="A132" s="2">
        <v>131</v>
      </c>
      <c r="B132" t="s">
        <v>136</v>
      </c>
      <c r="C132" s="3">
        <v>119.62</v>
      </c>
      <c r="D132" s="3">
        <v>2.7400000000000001E-2</v>
      </c>
      <c r="E132" s="3">
        <v>128.08000000000001</v>
      </c>
      <c r="F132" s="3">
        <v>2.93E-2</v>
      </c>
      <c r="G132" s="3">
        <v>7.07</v>
      </c>
    </row>
    <row r="133" spans="1:7">
      <c r="A133" s="2">
        <v>132</v>
      </c>
      <c r="B133" t="s">
        <v>137</v>
      </c>
      <c r="C133" s="3">
        <v>496.11</v>
      </c>
      <c r="D133" s="3">
        <v>0.1135</v>
      </c>
      <c r="E133" s="3">
        <v>351.09</v>
      </c>
      <c r="F133" s="3">
        <v>8.0199999999999994E-2</v>
      </c>
      <c r="G133" s="3">
        <v>-29.23</v>
      </c>
    </row>
    <row r="134" spans="1:7">
      <c r="A134" s="2">
        <v>133</v>
      </c>
      <c r="B134" t="s">
        <v>138</v>
      </c>
      <c r="C134" s="3">
        <v>2.19</v>
      </c>
      <c r="D134" s="3">
        <v>5.0000000000000001E-4</v>
      </c>
      <c r="E134" s="3">
        <v>2.84</v>
      </c>
      <c r="F134" s="3">
        <v>5.9999999999999995E-4</v>
      </c>
      <c r="G134" s="3">
        <v>29.95</v>
      </c>
    </row>
    <row r="135" spans="1:7">
      <c r="A135" s="2">
        <v>134</v>
      </c>
      <c r="B135" t="s">
        <v>139</v>
      </c>
      <c r="C135" s="3">
        <v>4.59</v>
      </c>
      <c r="D135" s="3">
        <v>1E-3</v>
      </c>
      <c r="E135" s="3">
        <v>4.83</v>
      </c>
      <c r="F135" s="3">
        <v>1.1000000000000001E-3</v>
      </c>
      <c r="G135" s="3">
        <v>5.3</v>
      </c>
    </row>
    <row r="136" spans="1:7">
      <c r="A136" s="2">
        <v>135</v>
      </c>
      <c r="B136" t="s">
        <v>140</v>
      </c>
      <c r="C136" s="3">
        <v>96.38</v>
      </c>
      <c r="D136" s="3">
        <v>2.2100000000000002E-2</v>
      </c>
      <c r="E136" s="3">
        <v>114.83</v>
      </c>
      <c r="F136" s="3">
        <v>2.6200000000000001E-2</v>
      </c>
      <c r="G136" s="3">
        <v>19.149999999999999</v>
      </c>
    </row>
    <row r="137" spans="1:7">
      <c r="A137" s="2">
        <v>136</v>
      </c>
      <c r="B137" t="s">
        <v>141</v>
      </c>
      <c r="C137" s="3">
        <v>778.03</v>
      </c>
      <c r="D137" s="3">
        <v>0.17799999999999999</v>
      </c>
      <c r="E137" s="3">
        <v>676.49</v>
      </c>
      <c r="F137" s="3">
        <v>0.15459999999999999</v>
      </c>
      <c r="G137" s="3">
        <v>-13.05</v>
      </c>
    </row>
    <row r="138" spans="1:7">
      <c r="A138" s="2">
        <v>137</v>
      </c>
      <c r="B138" t="s">
        <v>142</v>
      </c>
      <c r="C138" s="3">
        <v>7.57</v>
      </c>
      <c r="D138" s="3">
        <v>1.6999999999999999E-3</v>
      </c>
      <c r="E138" s="3">
        <v>7.56</v>
      </c>
      <c r="F138" s="3">
        <v>1.6999999999999999E-3</v>
      </c>
      <c r="G138" s="3">
        <v>-0.15</v>
      </c>
    </row>
    <row r="139" spans="1:7">
      <c r="A139" s="2">
        <v>138</v>
      </c>
      <c r="B139" t="s">
        <v>143</v>
      </c>
      <c r="C139" s="3">
        <v>5324.23</v>
      </c>
      <c r="D139" s="3">
        <v>1.2181999999999999</v>
      </c>
      <c r="E139" s="3">
        <v>5749.01</v>
      </c>
      <c r="F139" s="3">
        <v>1.3133999999999999</v>
      </c>
      <c r="G139" s="3">
        <v>7.98</v>
      </c>
    </row>
    <row r="140" spans="1:7">
      <c r="A140" s="2">
        <v>139</v>
      </c>
      <c r="B140" t="s">
        <v>144</v>
      </c>
      <c r="C140" s="3">
        <v>0.62</v>
      </c>
      <c r="D140" s="3">
        <v>1E-4</v>
      </c>
      <c r="E140" s="3">
        <v>0.81</v>
      </c>
      <c r="F140" s="3">
        <v>2.0000000000000001E-4</v>
      </c>
      <c r="G140" s="3">
        <v>30.47</v>
      </c>
    </row>
    <row r="141" spans="1:7">
      <c r="A141" s="2">
        <v>140</v>
      </c>
      <c r="B141" t="s">
        <v>145</v>
      </c>
      <c r="C141" s="3">
        <v>12.51</v>
      </c>
      <c r="D141" s="3">
        <v>2.8999999999999998E-3</v>
      </c>
      <c r="E141" s="3">
        <v>10.39</v>
      </c>
      <c r="F141" s="3">
        <v>2.3999999999999998E-3</v>
      </c>
      <c r="G141" s="3">
        <v>-16.93</v>
      </c>
    </row>
    <row r="142" spans="1:7">
      <c r="A142" s="2">
        <v>141</v>
      </c>
      <c r="B142" t="s">
        <v>146</v>
      </c>
      <c r="C142" s="3">
        <v>2.36</v>
      </c>
      <c r="D142" s="3">
        <v>5.0000000000000001E-4</v>
      </c>
      <c r="E142" s="3">
        <v>6.97</v>
      </c>
      <c r="F142" s="3">
        <v>1.6000000000000001E-3</v>
      </c>
      <c r="G142" s="3">
        <v>195.18</v>
      </c>
    </row>
    <row r="143" spans="1:7">
      <c r="A143" s="2">
        <v>142</v>
      </c>
      <c r="B143" t="s">
        <v>147</v>
      </c>
      <c r="C143" s="3">
        <v>33.15</v>
      </c>
      <c r="D143" s="3">
        <v>7.6E-3</v>
      </c>
      <c r="E143" s="3">
        <v>26.46</v>
      </c>
      <c r="F143" s="3">
        <v>6.0000000000000001E-3</v>
      </c>
      <c r="G143" s="3">
        <v>-20.190000000000001</v>
      </c>
    </row>
    <row r="144" spans="1:7">
      <c r="A144" s="2">
        <v>143</v>
      </c>
      <c r="B144" t="s">
        <v>148</v>
      </c>
      <c r="C144" s="3">
        <v>34.909999999999997</v>
      </c>
      <c r="D144" s="3">
        <v>8.0000000000000002E-3</v>
      </c>
      <c r="E144" s="3">
        <v>124.67</v>
      </c>
      <c r="F144" s="3">
        <v>2.8500000000000001E-2</v>
      </c>
      <c r="G144" s="3">
        <v>257.08999999999997</v>
      </c>
    </row>
    <row r="145" spans="1:7">
      <c r="A145" s="2">
        <v>144</v>
      </c>
      <c r="B145" t="s">
        <v>149</v>
      </c>
      <c r="C145" s="3">
        <v>0.12</v>
      </c>
      <c r="D145" s="3">
        <v>0</v>
      </c>
      <c r="E145" s="3">
        <v>0.12</v>
      </c>
      <c r="F145" s="3">
        <v>0</v>
      </c>
      <c r="G145" s="3">
        <v>1.26</v>
      </c>
    </row>
    <row r="146" spans="1:7">
      <c r="A146" s="2">
        <v>145</v>
      </c>
      <c r="B146" t="s">
        <v>150</v>
      </c>
      <c r="C146" s="3">
        <v>1032.58</v>
      </c>
      <c r="D146" s="3">
        <v>0.23619999999999999</v>
      </c>
      <c r="E146" s="3">
        <v>967.05</v>
      </c>
      <c r="F146" s="3">
        <v>0.22090000000000001</v>
      </c>
      <c r="G146" s="3">
        <v>-6.35</v>
      </c>
    </row>
    <row r="147" spans="1:7">
      <c r="A147" s="2">
        <v>146</v>
      </c>
      <c r="B147" t="s">
        <v>151</v>
      </c>
      <c r="C147" s="3">
        <v>1996</v>
      </c>
      <c r="D147" s="3">
        <v>0.45669999999999999</v>
      </c>
      <c r="E147" s="3">
        <v>1323.39</v>
      </c>
      <c r="F147" s="3">
        <v>0.30230000000000001</v>
      </c>
      <c r="G147" s="3">
        <v>-33.700000000000003</v>
      </c>
    </row>
    <row r="148" spans="1:7">
      <c r="A148" s="2">
        <v>147</v>
      </c>
      <c r="B148" t="s">
        <v>152</v>
      </c>
      <c r="C148" s="3">
        <v>670.37</v>
      </c>
      <c r="D148" s="3">
        <v>0.15340000000000001</v>
      </c>
      <c r="E148" s="3">
        <v>614.29999999999995</v>
      </c>
      <c r="F148" s="3">
        <v>0.14030000000000001</v>
      </c>
      <c r="G148" s="3">
        <v>-8.36</v>
      </c>
    </row>
    <row r="149" spans="1:7">
      <c r="A149" s="2">
        <v>148</v>
      </c>
      <c r="B149" t="s">
        <v>153</v>
      </c>
      <c r="C149" s="3">
        <v>0.31</v>
      </c>
      <c r="D149" s="3">
        <v>1E-4</v>
      </c>
      <c r="E149" s="3">
        <v>0.1</v>
      </c>
      <c r="F149" s="3">
        <v>0</v>
      </c>
      <c r="G149" s="3">
        <v>-66.44</v>
      </c>
    </row>
    <row r="150" spans="1:7">
      <c r="A150" s="2">
        <v>149</v>
      </c>
      <c r="B150" t="s">
        <v>154</v>
      </c>
      <c r="C150" s="3">
        <v>453.48</v>
      </c>
      <c r="D150" s="3">
        <v>0.1038</v>
      </c>
      <c r="E150" s="3">
        <v>327.20999999999998</v>
      </c>
      <c r="F150" s="3">
        <v>7.4800000000000005E-2</v>
      </c>
      <c r="G150" s="3">
        <v>-27.85</v>
      </c>
    </row>
    <row r="151" spans="1:7">
      <c r="A151" s="2">
        <v>150</v>
      </c>
      <c r="B151" t="s">
        <v>155</v>
      </c>
      <c r="C151" s="3">
        <v>0.09</v>
      </c>
      <c r="D151" s="3">
        <v>0</v>
      </c>
      <c r="E151" s="3">
        <v>0.04</v>
      </c>
      <c r="F151" s="3">
        <v>0</v>
      </c>
      <c r="G151" s="3">
        <v>-54.53</v>
      </c>
    </row>
    <row r="152" spans="1:7">
      <c r="A152" s="2">
        <v>151</v>
      </c>
      <c r="B152" t="s">
        <v>156</v>
      </c>
      <c r="C152" s="3">
        <v>7040.98</v>
      </c>
      <c r="D152" s="3">
        <v>1.6109</v>
      </c>
      <c r="E152" s="3">
        <v>7385.98</v>
      </c>
      <c r="F152" s="3">
        <v>1.6874</v>
      </c>
      <c r="G152" s="3">
        <v>4.9000000000000004</v>
      </c>
    </row>
    <row r="153" spans="1:7">
      <c r="A153" s="2">
        <v>152</v>
      </c>
      <c r="B153" t="s">
        <v>157</v>
      </c>
      <c r="C153" s="3">
        <v>22366.86</v>
      </c>
      <c r="D153" s="3">
        <v>5.1173999999999999</v>
      </c>
      <c r="E153" s="3">
        <v>22763.41</v>
      </c>
      <c r="F153" s="3">
        <v>5.2005999999999997</v>
      </c>
      <c r="G153" s="3">
        <v>1.77</v>
      </c>
    </row>
    <row r="154" spans="1:7">
      <c r="A154" s="2">
        <v>153</v>
      </c>
      <c r="B154" t="s">
        <v>158</v>
      </c>
      <c r="C154" s="3">
        <v>21.43</v>
      </c>
      <c r="D154" s="3">
        <v>4.8999999999999998E-3</v>
      </c>
      <c r="E154" s="3">
        <v>21.68</v>
      </c>
      <c r="F154" s="3">
        <v>5.0000000000000001E-3</v>
      </c>
      <c r="G154" s="3">
        <v>1.18</v>
      </c>
    </row>
    <row r="155" spans="1:7">
      <c r="A155" s="2">
        <v>154</v>
      </c>
      <c r="B155" t="s">
        <v>159</v>
      </c>
      <c r="C155" s="3">
        <v>15.4</v>
      </c>
      <c r="D155" s="3">
        <v>3.5000000000000001E-3</v>
      </c>
      <c r="E155" s="3">
        <v>5.82</v>
      </c>
      <c r="F155" s="3">
        <v>1.2999999999999999E-3</v>
      </c>
      <c r="G155" s="3">
        <v>-62.21</v>
      </c>
    </row>
    <row r="156" spans="1:7">
      <c r="A156" s="2">
        <v>155</v>
      </c>
      <c r="B156" t="s">
        <v>160</v>
      </c>
      <c r="C156" s="3">
        <v>538.33000000000004</v>
      </c>
      <c r="D156" s="3">
        <v>0.1232</v>
      </c>
      <c r="E156" s="3">
        <v>711.1</v>
      </c>
      <c r="F156" s="3">
        <v>0.16250000000000001</v>
      </c>
      <c r="G156" s="3">
        <v>32.090000000000003</v>
      </c>
    </row>
    <row r="157" spans="1:7">
      <c r="A157" s="2">
        <v>156</v>
      </c>
      <c r="B157" t="s">
        <v>161</v>
      </c>
      <c r="C157" s="3">
        <v>132.31</v>
      </c>
      <c r="D157" s="3">
        <v>3.0300000000000001E-2</v>
      </c>
      <c r="E157" s="3">
        <v>159.33000000000001</v>
      </c>
      <c r="F157" s="3">
        <v>3.6400000000000002E-2</v>
      </c>
      <c r="G157" s="3">
        <v>20.420000000000002</v>
      </c>
    </row>
    <row r="158" spans="1:7">
      <c r="A158" s="2">
        <v>157</v>
      </c>
      <c r="B158" t="s">
        <v>162</v>
      </c>
      <c r="C158" s="3">
        <v>47.22</v>
      </c>
      <c r="D158" s="3">
        <v>1.0800000000000001E-2</v>
      </c>
      <c r="E158" s="3">
        <v>72.680000000000007</v>
      </c>
      <c r="F158" s="3">
        <v>1.66E-2</v>
      </c>
      <c r="G158" s="3">
        <v>53.92</v>
      </c>
    </row>
    <row r="159" spans="1:7">
      <c r="A159" s="2">
        <v>158</v>
      </c>
      <c r="B159" t="s">
        <v>163</v>
      </c>
      <c r="C159" s="3">
        <v>3626.4</v>
      </c>
      <c r="D159" s="3">
        <v>0.82969999999999999</v>
      </c>
      <c r="E159" s="3">
        <v>2945.5</v>
      </c>
      <c r="F159" s="3">
        <v>0.67290000000000005</v>
      </c>
      <c r="G159" s="3">
        <v>-18.78</v>
      </c>
    </row>
    <row r="160" spans="1:7">
      <c r="A160" s="2">
        <v>159</v>
      </c>
      <c r="B160" t="s">
        <v>164</v>
      </c>
      <c r="C160" s="3">
        <v>0.02</v>
      </c>
      <c r="D160" s="3">
        <v>0</v>
      </c>
      <c r="E160" s="3">
        <v>0.8</v>
      </c>
      <c r="F160" s="3">
        <v>2.0000000000000001E-4</v>
      </c>
      <c r="G160" s="3">
        <v>4360.03</v>
      </c>
    </row>
    <row r="161" spans="1:7">
      <c r="A161" s="2">
        <v>160</v>
      </c>
      <c r="B161" t="s">
        <v>165</v>
      </c>
      <c r="C161" s="3">
        <v>403.08</v>
      </c>
      <c r="D161" s="3">
        <v>9.2200000000000004E-2</v>
      </c>
      <c r="E161" s="3">
        <v>425.01</v>
      </c>
      <c r="F161" s="3">
        <v>9.7100000000000006E-2</v>
      </c>
      <c r="G161" s="3">
        <v>5.44</v>
      </c>
    </row>
    <row r="162" spans="1:7">
      <c r="A162" s="2">
        <v>161</v>
      </c>
      <c r="B162" t="s">
        <v>166</v>
      </c>
      <c r="C162" s="3">
        <v>4426.47</v>
      </c>
      <c r="D162" s="3">
        <v>1.0127999999999999</v>
      </c>
      <c r="E162" s="3">
        <v>4065.35</v>
      </c>
      <c r="F162" s="3">
        <v>0.92879999999999996</v>
      </c>
      <c r="G162" s="3">
        <v>-8.16</v>
      </c>
    </row>
    <row r="163" spans="1:7">
      <c r="A163" s="2">
        <v>162</v>
      </c>
      <c r="B163" t="s">
        <v>167</v>
      </c>
      <c r="C163" s="3">
        <v>1188.8499999999999</v>
      </c>
      <c r="D163" s="3">
        <v>0.27200000000000002</v>
      </c>
      <c r="E163" s="3">
        <v>557.78</v>
      </c>
      <c r="F163" s="3">
        <v>0.12740000000000001</v>
      </c>
      <c r="G163" s="3">
        <v>-53.08</v>
      </c>
    </row>
    <row r="164" spans="1:7">
      <c r="A164" s="2">
        <v>163</v>
      </c>
      <c r="B164" t="s">
        <v>168</v>
      </c>
      <c r="C164" s="3">
        <v>0.15</v>
      </c>
      <c r="D164" s="3">
        <v>0</v>
      </c>
      <c r="E164" s="3">
        <v>0.24</v>
      </c>
      <c r="F164" s="3">
        <v>1E-4</v>
      </c>
      <c r="G164" s="3">
        <v>67.3</v>
      </c>
    </row>
    <row r="165" spans="1:7">
      <c r="A165" s="2">
        <v>164</v>
      </c>
      <c r="B165" t="s">
        <v>169</v>
      </c>
      <c r="C165" s="3">
        <v>296.52999999999997</v>
      </c>
      <c r="D165" s="3">
        <v>6.7799999999999999E-2</v>
      </c>
      <c r="E165" s="3">
        <v>287.43</v>
      </c>
      <c r="F165" s="3">
        <v>6.5699999999999995E-2</v>
      </c>
      <c r="G165" s="3">
        <v>-3.07</v>
      </c>
    </row>
    <row r="166" spans="1:7">
      <c r="A166" s="2">
        <v>165</v>
      </c>
      <c r="B166" t="s">
        <v>170</v>
      </c>
      <c r="C166" s="3">
        <v>70.06</v>
      </c>
      <c r="D166" s="3">
        <v>1.6E-2</v>
      </c>
      <c r="E166" s="3">
        <v>70.38</v>
      </c>
      <c r="F166" s="3">
        <v>1.61E-2</v>
      </c>
      <c r="G166" s="3">
        <v>0.46</v>
      </c>
    </row>
    <row r="167" spans="1:7">
      <c r="A167" s="2">
        <v>166</v>
      </c>
      <c r="B167" t="s">
        <v>171</v>
      </c>
      <c r="C167" s="3">
        <v>212.25</v>
      </c>
      <c r="D167" s="3">
        <v>4.8599999999999997E-2</v>
      </c>
      <c r="E167" s="3">
        <v>180.47</v>
      </c>
      <c r="F167" s="3">
        <v>4.1200000000000001E-2</v>
      </c>
      <c r="G167" s="3">
        <v>-14.97</v>
      </c>
    </row>
    <row r="168" spans="1:7">
      <c r="A168" s="2">
        <v>167</v>
      </c>
      <c r="B168" t="s">
        <v>172</v>
      </c>
      <c r="C168" s="3">
        <v>920.09</v>
      </c>
      <c r="D168" s="3">
        <v>0.21049999999999999</v>
      </c>
      <c r="E168" s="3">
        <v>1002.26</v>
      </c>
      <c r="F168" s="3">
        <v>0.22900000000000001</v>
      </c>
      <c r="G168" s="3">
        <v>8.93</v>
      </c>
    </row>
    <row r="169" spans="1:7">
      <c r="A169" s="2">
        <v>168</v>
      </c>
      <c r="B169" t="s">
        <v>173</v>
      </c>
      <c r="C169" s="3">
        <v>2097.17</v>
      </c>
      <c r="D169" s="3">
        <v>0.4798</v>
      </c>
      <c r="E169" s="3">
        <v>2162.4299999999998</v>
      </c>
      <c r="F169" s="3">
        <v>0.49399999999999999</v>
      </c>
      <c r="G169" s="3">
        <v>3.11</v>
      </c>
    </row>
    <row r="170" spans="1:7">
      <c r="A170" s="2">
        <v>169</v>
      </c>
      <c r="B170" t="s">
        <v>174</v>
      </c>
      <c r="C170" s="3">
        <v>0</v>
      </c>
      <c r="D170" s="3">
        <v>0</v>
      </c>
      <c r="E170" s="3">
        <v>0</v>
      </c>
      <c r="F170" s="3">
        <v>0</v>
      </c>
      <c r="G170" s="3">
        <v>-68.09</v>
      </c>
    </row>
    <row r="171" spans="1:7">
      <c r="A171" s="2">
        <v>170</v>
      </c>
      <c r="B171" t="s">
        <v>175</v>
      </c>
      <c r="C171" s="3">
        <v>2436.27</v>
      </c>
      <c r="D171" s="3">
        <v>0.55740000000000001</v>
      </c>
      <c r="E171" s="3">
        <v>2618.61</v>
      </c>
      <c r="F171" s="3">
        <v>0.59830000000000005</v>
      </c>
      <c r="G171" s="3">
        <v>7.48</v>
      </c>
    </row>
    <row r="172" spans="1:7">
      <c r="A172" s="2">
        <v>171</v>
      </c>
      <c r="B172" t="s">
        <v>176</v>
      </c>
      <c r="C172" s="3">
        <v>1183.8</v>
      </c>
      <c r="D172" s="3">
        <v>0.27079999999999999</v>
      </c>
      <c r="E172" s="3">
        <v>920.25</v>
      </c>
      <c r="F172" s="3">
        <v>0.2102</v>
      </c>
      <c r="G172" s="3">
        <v>-22.26</v>
      </c>
    </row>
    <row r="173" spans="1:7">
      <c r="A173" s="2">
        <v>172</v>
      </c>
      <c r="B173" t="s">
        <v>177</v>
      </c>
      <c r="C173" s="3">
        <v>140.53</v>
      </c>
      <c r="D173" s="3">
        <v>3.2199999999999999E-2</v>
      </c>
      <c r="E173" s="3">
        <v>135.05000000000001</v>
      </c>
      <c r="F173" s="3">
        <v>3.09E-2</v>
      </c>
      <c r="G173" s="3">
        <v>-3.9</v>
      </c>
    </row>
    <row r="174" spans="1:7">
      <c r="A174" s="2">
        <v>173</v>
      </c>
      <c r="B174" t="s">
        <v>178</v>
      </c>
      <c r="C174" s="3">
        <v>1700.01</v>
      </c>
      <c r="D174" s="3">
        <v>0.38900000000000001</v>
      </c>
      <c r="E174" s="3">
        <v>1682.48</v>
      </c>
      <c r="F174" s="3">
        <v>0.38440000000000002</v>
      </c>
      <c r="G174" s="3">
        <v>-1.03</v>
      </c>
    </row>
    <row r="175" spans="1:7">
      <c r="A175" s="2">
        <v>174</v>
      </c>
      <c r="B175" t="s">
        <v>179</v>
      </c>
      <c r="C175" s="3">
        <v>45.33</v>
      </c>
      <c r="D175" s="3">
        <v>1.04E-2</v>
      </c>
      <c r="E175" s="3">
        <v>49.04</v>
      </c>
      <c r="F175" s="3">
        <v>1.12E-2</v>
      </c>
      <c r="G175" s="3">
        <v>8.19</v>
      </c>
    </row>
    <row r="176" spans="1:7">
      <c r="A176" s="2">
        <v>175</v>
      </c>
      <c r="B176" t="s">
        <v>180</v>
      </c>
      <c r="C176" s="3">
        <v>1778.05</v>
      </c>
      <c r="D176" s="3">
        <v>0.40679999999999999</v>
      </c>
      <c r="E176" s="3">
        <v>1036.01</v>
      </c>
      <c r="F176" s="3">
        <v>0.23669999999999999</v>
      </c>
      <c r="G176" s="3">
        <v>-41.73</v>
      </c>
    </row>
    <row r="177" spans="1:7">
      <c r="A177" s="2">
        <v>176</v>
      </c>
      <c r="B177" t="s">
        <v>181</v>
      </c>
      <c r="C177" s="3">
        <v>4261.3100000000004</v>
      </c>
      <c r="D177" s="3">
        <v>0.97499999999999998</v>
      </c>
      <c r="E177" s="3">
        <v>4881.3</v>
      </c>
      <c r="F177" s="3">
        <v>1.1152</v>
      </c>
      <c r="G177" s="3">
        <v>14.55</v>
      </c>
    </row>
    <row r="178" spans="1:7">
      <c r="A178" s="2">
        <v>177</v>
      </c>
      <c r="B178" t="s">
        <v>182</v>
      </c>
      <c r="C178" s="3">
        <v>133.5</v>
      </c>
      <c r="D178" s="3">
        <v>3.0499999999999999E-2</v>
      </c>
      <c r="E178" s="3">
        <v>98.74</v>
      </c>
      <c r="F178" s="3">
        <v>2.2599999999999999E-2</v>
      </c>
      <c r="G178" s="3">
        <v>-26.04</v>
      </c>
    </row>
    <row r="179" spans="1:7">
      <c r="A179" s="2">
        <v>178</v>
      </c>
      <c r="B179" t="s">
        <v>183</v>
      </c>
      <c r="C179" s="3">
        <v>7.0000000000000007E-2</v>
      </c>
      <c r="D179" s="3">
        <v>0</v>
      </c>
      <c r="E179" s="3">
        <v>0.03</v>
      </c>
      <c r="F179" s="3">
        <v>0</v>
      </c>
      <c r="G179" s="3">
        <v>-57.47</v>
      </c>
    </row>
    <row r="180" spans="1:7">
      <c r="A180" s="2">
        <v>179</v>
      </c>
      <c r="B180" t="s">
        <v>184</v>
      </c>
      <c r="C180" s="3">
        <v>1.92</v>
      </c>
      <c r="D180" s="3">
        <v>4.0000000000000002E-4</v>
      </c>
      <c r="E180" s="3">
        <v>1.71</v>
      </c>
      <c r="F180" s="3">
        <v>4.0000000000000002E-4</v>
      </c>
      <c r="G180" s="3">
        <v>-11.17</v>
      </c>
    </row>
    <row r="181" spans="1:7">
      <c r="A181" s="2">
        <v>180</v>
      </c>
      <c r="B181" t="s">
        <v>185</v>
      </c>
      <c r="C181" s="3">
        <v>0.52</v>
      </c>
      <c r="D181" s="3">
        <v>1E-4</v>
      </c>
      <c r="E181" s="3">
        <v>3.57</v>
      </c>
      <c r="F181" s="3">
        <v>8.0000000000000004E-4</v>
      </c>
      <c r="G181" s="3">
        <v>587.28</v>
      </c>
    </row>
    <row r="182" spans="1:7">
      <c r="A182" s="2">
        <v>181</v>
      </c>
      <c r="B182" t="s">
        <v>186</v>
      </c>
      <c r="C182" s="3">
        <v>1.53</v>
      </c>
      <c r="D182" s="3">
        <v>4.0000000000000002E-4</v>
      </c>
      <c r="E182" s="3">
        <v>1.47</v>
      </c>
      <c r="F182" s="3">
        <v>2.9999999999999997E-4</v>
      </c>
      <c r="G182" s="3">
        <v>-3.89</v>
      </c>
    </row>
    <row r="183" spans="1:7">
      <c r="A183" s="2">
        <v>182</v>
      </c>
      <c r="B183" t="s">
        <v>187</v>
      </c>
      <c r="C183" s="3">
        <v>11558.57</v>
      </c>
      <c r="D183" s="3">
        <v>2.6444999999999999</v>
      </c>
      <c r="E183" s="3">
        <v>11756.65</v>
      </c>
      <c r="F183" s="3">
        <v>2.6859999999999999</v>
      </c>
      <c r="G183" s="3">
        <v>1.71</v>
      </c>
    </row>
    <row r="184" spans="1:7">
      <c r="A184" s="2">
        <v>183</v>
      </c>
      <c r="B184" t="s">
        <v>188</v>
      </c>
      <c r="C184" s="3">
        <v>938.57</v>
      </c>
      <c r="D184" s="3">
        <v>0.2147</v>
      </c>
      <c r="E184" s="3">
        <v>1001.1</v>
      </c>
      <c r="F184" s="3">
        <v>0.22869999999999999</v>
      </c>
      <c r="G184" s="3">
        <v>6.66</v>
      </c>
    </row>
    <row r="185" spans="1:7">
      <c r="A185" s="2">
        <v>184</v>
      </c>
      <c r="B185" t="s">
        <v>189</v>
      </c>
      <c r="C185" s="3">
        <v>106.91</v>
      </c>
      <c r="D185" s="3">
        <v>2.4500000000000001E-2</v>
      </c>
      <c r="E185" s="3">
        <v>100</v>
      </c>
      <c r="F185" s="3">
        <v>2.2800000000000001E-2</v>
      </c>
      <c r="G185" s="3">
        <v>-6.46</v>
      </c>
    </row>
    <row r="186" spans="1:7">
      <c r="A186" s="2">
        <v>185</v>
      </c>
      <c r="B186" t="s">
        <v>190</v>
      </c>
      <c r="C186" s="3">
        <v>76.19</v>
      </c>
      <c r="D186" s="3">
        <v>1.7399999999999999E-2</v>
      </c>
      <c r="E186" s="3">
        <v>196.03</v>
      </c>
      <c r="F186" s="3">
        <v>4.48E-2</v>
      </c>
      <c r="G186" s="3">
        <v>157.28</v>
      </c>
    </row>
    <row r="187" spans="1:7">
      <c r="A187" s="2">
        <v>186</v>
      </c>
      <c r="B187" t="s">
        <v>191</v>
      </c>
      <c r="C187" s="3">
        <v>267.86</v>
      </c>
      <c r="D187" s="3">
        <v>6.13E-2</v>
      </c>
      <c r="E187" s="3">
        <v>385.47</v>
      </c>
      <c r="F187" s="3">
        <v>8.8099999999999998E-2</v>
      </c>
      <c r="G187" s="3">
        <v>43.91</v>
      </c>
    </row>
    <row r="188" spans="1:7">
      <c r="A188" s="2">
        <v>187</v>
      </c>
      <c r="B188" t="s">
        <v>192</v>
      </c>
      <c r="C188" s="3">
        <v>14414.27</v>
      </c>
      <c r="D188" s="3">
        <v>3.2978999999999998</v>
      </c>
      <c r="E188" s="3">
        <v>12976.15</v>
      </c>
      <c r="F188" s="3">
        <v>2.9645999999999999</v>
      </c>
      <c r="G188" s="3">
        <v>-9.98</v>
      </c>
    </row>
    <row r="189" spans="1:7">
      <c r="A189" s="2">
        <v>188</v>
      </c>
      <c r="B189" t="s">
        <v>193</v>
      </c>
      <c r="C189" s="3">
        <v>0.45</v>
      </c>
      <c r="D189" s="3">
        <v>1E-4</v>
      </c>
      <c r="E189" s="3">
        <v>0.68</v>
      </c>
      <c r="F189" s="3">
        <v>2.0000000000000001E-4</v>
      </c>
      <c r="G189" s="3">
        <v>49.55</v>
      </c>
    </row>
    <row r="190" spans="1:7">
      <c r="A190" s="2">
        <v>189</v>
      </c>
      <c r="B190" t="s">
        <v>194</v>
      </c>
      <c r="C190" s="3">
        <v>193.03</v>
      </c>
      <c r="D190" s="3">
        <v>4.4200000000000003E-2</v>
      </c>
      <c r="E190" s="3">
        <v>380.38</v>
      </c>
      <c r="F190" s="3">
        <v>8.6900000000000005E-2</v>
      </c>
      <c r="G190" s="3">
        <v>97.05</v>
      </c>
    </row>
    <row r="191" spans="1:7">
      <c r="A191" s="2">
        <v>190</v>
      </c>
      <c r="B191" t="s">
        <v>195</v>
      </c>
      <c r="C191" s="3">
        <v>586.97</v>
      </c>
      <c r="D191" s="3">
        <v>0.1343</v>
      </c>
      <c r="E191" s="3">
        <v>586.74</v>
      </c>
      <c r="F191" s="3">
        <v>0.13400000000000001</v>
      </c>
      <c r="G191" s="3">
        <v>-0.04</v>
      </c>
    </row>
    <row r="192" spans="1:7">
      <c r="A192" s="2">
        <v>191</v>
      </c>
      <c r="B192" t="s">
        <v>196</v>
      </c>
      <c r="C192" s="3">
        <v>2.99</v>
      </c>
      <c r="D192" s="3">
        <v>6.9999999999999999E-4</v>
      </c>
      <c r="E192" s="3">
        <v>2.56</v>
      </c>
      <c r="F192" s="3">
        <v>5.9999999999999995E-4</v>
      </c>
      <c r="G192" s="3">
        <v>-14.37</v>
      </c>
    </row>
    <row r="193" spans="1:7">
      <c r="A193" s="2">
        <v>192</v>
      </c>
      <c r="B193" t="s">
        <v>197</v>
      </c>
      <c r="C193" s="3">
        <v>819.58</v>
      </c>
      <c r="D193" s="3">
        <v>0.1875</v>
      </c>
      <c r="E193" s="3">
        <v>765.67</v>
      </c>
      <c r="F193" s="3">
        <v>0.1749</v>
      </c>
      <c r="G193" s="3">
        <v>-6.58</v>
      </c>
    </row>
    <row r="194" spans="1:7">
      <c r="A194" s="2">
        <v>193</v>
      </c>
      <c r="B194" t="s">
        <v>198</v>
      </c>
      <c r="C194" s="3">
        <v>8707.5300000000007</v>
      </c>
      <c r="D194" s="3">
        <v>1.9922</v>
      </c>
      <c r="E194" s="3">
        <v>7462.28</v>
      </c>
      <c r="F194" s="3">
        <v>1.7049000000000001</v>
      </c>
      <c r="G194" s="3">
        <v>-14.3</v>
      </c>
    </row>
    <row r="195" spans="1:7">
      <c r="A195" s="2">
        <v>194</v>
      </c>
      <c r="B195" t="s">
        <v>199</v>
      </c>
      <c r="C195" s="3">
        <v>41.68</v>
      </c>
      <c r="D195" s="3">
        <v>9.4999999999999998E-3</v>
      </c>
      <c r="E195" s="3">
        <v>21.26</v>
      </c>
      <c r="F195" s="3">
        <v>4.8999999999999998E-3</v>
      </c>
      <c r="G195" s="3">
        <v>-48.99</v>
      </c>
    </row>
    <row r="196" spans="1:7">
      <c r="A196" s="2">
        <v>195</v>
      </c>
      <c r="B196" t="s">
        <v>200</v>
      </c>
      <c r="C196" s="3">
        <v>4793.7</v>
      </c>
      <c r="D196" s="3">
        <v>1.0968</v>
      </c>
      <c r="E196" s="3">
        <v>4763.75</v>
      </c>
      <c r="F196" s="3">
        <v>1.0883</v>
      </c>
      <c r="G196" s="3">
        <v>-0.62</v>
      </c>
    </row>
    <row r="197" spans="1:7">
      <c r="A197" s="2">
        <v>196</v>
      </c>
      <c r="B197" t="s">
        <v>201</v>
      </c>
      <c r="C197" s="3">
        <v>4116.8999999999996</v>
      </c>
      <c r="D197" s="3">
        <v>0.94189999999999996</v>
      </c>
      <c r="E197" s="3">
        <v>4550.78</v>
      </c>
      <c r="F197" s="3">
        <v>1.0397000000000001</v>
      </c>
      <c r="G197" s="3">
        <v>10.54</v>
      </c>
    </row>
    <row r="198" spans="1:7">
      <c r="A198" s="2">
        <v>197</v>
      </c>
      <c r="B198" t="s">
        <v>202</v>
      </c>
      <c r="C198" s="3">
        <v>0</v>
      </c>
      <c r="D198" s="3">
        <v>0</v>
      </c>
      <c r="E198" s="3">
        <v>0.13</v>
      </c>
      <c r="F198" s="3">
        <v>0</v>
      </c>
      <c r="G198" s="3">
        <v>82752.23</v>
      </c>
    </row>
    <row r="199" spans="1:7">
      <c r="A199" s="2">
        <v>198</v>
      </c>
      <c r="B199" t="s">
        <v>203</v>
      </c>
      <c r="C199" s="3">
        <v>4.99</v>
      </c>
      <c r="D199" s="3">
        <v>1.1000000000000001E-3</v>
      </c>
      <c r="E199" s="3">
        <v>2.73</v>
      </c>
      <c r="F199" s="3">
        <v>5.9999999999999995E-4</v>
      </c>
      <c r="G199" s="3">
        <v>-45.21</v>
      </c>
    </row>
    <row r="200" spans="1:7">
      <c r="A200" s="2">
        <v>199</v>
      </c>
      <c r="B200" t="s">
        <v>204</v>
      </c>
      <c r="C200" s="3">
        <v>7.26</v>
      </c>
      <c r="D200" s="3">
        <v>1.6999999999999999E-3</v>
      </c>
      <c r="E200" s="3">
        <v>10.23</v>
      </c>
      <c r="F200" s="3">
        <v>2.3E-3</v>
      </c>
      <c r="G200" s="3">
        <v>40.83</v>
      </c>
    </row>
    <row r="201" spans="1:7">
      <c r="A201" s="2">
        <v>200</v>
      </c>
      <c r="B201" t="s">
        <v>205</v>
      </c>
      <c r="C201" s="3">
        <v>2.38</v>
      </c>
      <c r="D201" s="3">
        <v>5.0000000000000001E-4</v>
      </c>
      <c r="E201" s="3">
        <v>3.28</v>
      </c>
      <c r="F201" s="3">
        <v>8.0000000000000004E-4</v>
      </c>
      <c r="G201" s="3">
        <v>37.83</v>
      </c>
    </row>
    <row r="202" spans="1:7">
      <c r="A202" s="2">
        <v>201</v>
      </c>
      <c r="B202" t="s">
        <v>206</v>
      </c>
      <c r="C202" s="3">
        <v>0.65</v>
      </c>
      <c r="D202" s="3">
        <v>1E-4</v>
      </c>
      <c r="E202" s="3">
        <v>0.02</v>
      </c>
      <c r="F202" s="3">
        <v>0</v>
      </c>
      <c r="G202" s="3">
        <v>-96.63</v>
      </c>
    </row>
    <row r="203" spans="1:7">
      <c r="A203" s="2">
        <v>202</v>
      </c>
      <c r="B203" t="s">
        <v>207</v>
      </c>
      <c r="C203" s="3">
        <v>805.04</v>
      </c>
      <c r="D203" s="3">
        <v>0.1842</v>
      </c>
      <c r="E203" s="3">
        <v>589.03</v>
      </c>
      <c r="F203" s="3">
        <v>0.1346</v>
      </c>
      <c r="G203" s="3">
        <v>-26.83</v>
      </c>
    </row>
    <row r="204" spans="1:7">
      <c r="A204" s="2">
        <v>203</v>
      </c>
      <c r="B204" t="s">
        <v>208</v>
      </c>
      <c r="C204" s="3">
        <v>29.25</v>
      </c>
      <c r="D204" s="3">
        <v>6.7000000000000002E-3</v>
      </c>
      <c r="E204" s="3">
        <v>28.55</v>
      </c>
      <c r="F204" s="3">
        <v>6.4999999999999997E-3</v>
      </c>
      <c r="G204" s="3">
        <v>-2.41</v>
      </c>
    </row>
    <row r="205" spans="1:7">
      <c r="A205" s="2">
        <v>204</v>
      </c>
      <c r="B205" t="s">
        <v>209</v>
      </c>
      <c r="C205" s="3">
        <v>0.11</v>
      </c>
      <c r="D205" s="3">
        <v>0</v>
      </c>
      <c r="E205" s="3">
        <v>0</v>
      </c>
      <c r="F205" s="3">
        <v>0</v>
      </c>
      <c r="G205" s="3">
        <v>0</v>
      </c>
    </row>
    <row r="206" spans="1:7">
      <c r="A206" s="2">
        <v>205</v>
      </c>
      <c r="B206" t="s">
        <v>210</v>
      </c>
      <c r="C206" s="3">
        <v>24.79</v>
      </c>
      <c r="D206" s="3">
        <v>5.7000000000000002E-3</v>
      </c>
      <c r="E206" s="3">
        <v>18.57</v>
      </c>
      <c r="F206" s="3">
        <v>4.1999999999999997E-3</v>
      </c>
      <c r="G206" s="3">
        <v>-25.08</v>
      </c>
    </row>
    <row r="207" spans="1:7">
      <c r="A207" s="2">
        <v>206</v>
      </c>
      <c r="B207" t="s">
        <v>211</v>
      </c>
      <c r="C207" s="3">
        <v>1018.8</v>
      </c>
      <c r="D207" s="3">
        <v>0.2331</v>
      </c>
      <c r="E207" s="3">
        <v>1262.05</v>
      </c>
      <c r="F207" s="3">
        <v>0.2883</v>
      </c>
      <c r="G207" s="3">
        <v>23.88</v>
      </c>
    </row>
    <row r="208" spans="1:7">
      <c r="A208" s="2">
        <v>207</v>
      </c>
      <c r="B208" t="s">
        <v>212</v>
      </c>
      <c r="C208" s="3">
        <v>1526.92</v>
      </c>
      <c r="D208" s="3">
        <v>0.34939999999999999</v>
      </c>
      <c r="E208" s="3">
        <v>1475.41</v>
      </c>
      <c r="F208" s="3">
        <v>0.33710000000000001</v>
      </c>
      <c r="G208" s="3">
        <v>-3.37</v>
      </c>
    </row>
    <row r="209" spans="1:7">
      <c r="A209" s="2">
        <v>208</v>
      </c>
      <c r="B209" t="s">
        <v>213</v>
      </c>
      <c r="C209" s="3">
        <v>63.2</v>
      </c>
      <c r="D209" s="3">
        <v>1.4500000000000001E-2</v>
      </c>
      <c r="E209" s="3">
        <v>63.71</v>
      </c>
      <c r="F209" s="3">
        <v>1.46E-2</v>
      </c>
      <c r="G209" s="3">
        <v>0.8</v>
      </c>
    </row>
    <row r="210" spans="1:7">
      <c r="A210" s="2">
        <v>209</v>
      </c>
      <c r="B210" t="s">
        <v>214</v>
      </c>
      <c r="C210" s="3">
        <v>1840.59</v>
      </c>
      <c r="D210" s="3">
        <v>0.42109999999999997</v>
      </c>
      <c r="E210" s="3">
        <v>1781.7</v>
      </c>
      <c r="F210" s="3">
        <v>0.40710000000000002</v>
      </c>
      <c r="G210" s="3">
        <v>-3.2</v>
      </c>
    </row>
    <row r="211" spans="1:7">
      <c r="A211" s="2">
        <v>210</v>
      </c>
      <c r="B211" t="s">
        <v>215</v>
      </c>
      <c r="C211" s="3">
        <v>51.64</v>
      </c>
      <c r="D211" s="3">
        <v>1.18E-2</v>
      </c>
      <c r="E211" s="3">
        <v>45.68</v>
      </c>
      <c r="F211" s="3">
        <v>1.04E-2</v>
      </c>
      <c r="G211" s="3">
        <v>-11.55</v>
      </c>
    </row>
    <row r="212" spans="1:7">
      <c r="A212" s="2">
        <v>211</v>
      </c>
      <c r="B212" t="s">
        <v>216</v>
      </c>
      <c r="C212" s="3">
        <v>4616.62</v>
      </c>
      <c r="D212" s="3">
        <v>1.0563</v>
      </c>
      <c r="E212" s="3">
        <v>4789.6099999999997</v>
      </c>
      <c r="F212" s="3">
        <v>1.0943000000000001</v>
      </c>
      <c r="G212" s="3">
        <v>3.75</v>
      </c>
    </row>
    <row r="213" spans="1:7">
      <c r="A213" s="2">
        <v>212</v>
      </c>
      <c r="B213" t="s">
        <v>217</v>
      </c>
      <c r="C213" s="3">
        <v>5038.97</v>
      </c>
      <c r="D213" s="3">
        <v>1.1529</v>
      </c>
      <c r="E213" s="3">
        <v>4812.58</v>
      </c>
      <c r="F213" s="3">
        <v>1.0994999999999999</v>
      </c>
      <c r="G213" s="3">
        <v>-4.49</v>
      </c>
    </row>
    <row r="214" spans="1:7">
      <c r="A214" s="2">
        <v>213</v>
      </c>
      <c r="B214" t="s">
        <v>218</v>
      </c>
      <c r="C214" s="3">
        <v>48.02</v>
      </c>
      <c r="D214" s="3">
        <v>1.0999999999999999E-2</v>
      </c>
      <c r="E214" s="3">
        <v>38.409999999999997</v>
      </c>
      <c r="F214" s="3">
        <v>8.8000000000000005E-3</v>
      </c>
      <c r="G214" s="3">
        <v>-20</v>
      </c>
    </row>
    <row r="215" spans="1:7">
      <c r="A215" s="2">
        <v>214</v>
      </c>
      <c r="B215" t="s">
        <v>219</v>
      </c>
      <c r="C215" s="3">
        <v>3229.01</v>
      </c>
      <c r="D215" s="3">
        <v>0.73880000000000001</v>
      </c>
      <c r="E215" s="3">
        <v>2522.0500000000002</v>
      </c>
      <c r="F215" s="3">
        <v>0.57620000000000005</v>
      </c>
      <c r="G215" s="3">
        <v>-21.89</v>
      </c>
    </row>
    <row r="216" spans="1:7">
      <c r="A216" s="2">
        <v>215</v>
      </c>
      <c r="B216" t="s">
        <v>220</v>
      </c>
      <c r="C216" s="3">
        <v>0</v>
      </c>
      <c r="D216" s="3">
        <v>0</v>
      </c>
      <c r="E216" s="3">
        <v>0.05</v>
      </c>
      <c r="F216" s="3">
        <v>0</v>
      </c>
      <c r="G216" s="3">
        <v>0</v>
      </c>
    </row>
    <row r="217" spans="1:7">
      <c r="A217" s="2">
        <v>216</v>
      </c>
      <c r="B217" t="s">
        <v>221</v>
      </c>
      <c r="C217" s="3">
        <v>1.59</v>
      </c>
      <c r="D217" s="3">
        <v>4.0000000000000002E-4</v>
      </c>
      <c r="E217" s="3">
        <v>1.1399999999999999</v>
      </c>
      <c r="F217" s="3">
        <v>2.9999999999999997E-4</v>
      </c>
      <c r="G217" s="3">
        <v>-28.43</v>
      </c>
    </row>
    <row r="218" spans="1:7">
      <c r="A218" s="2">
        <v>217</v>
      </c>
      <c r="B218" t="s">
        <v>222</v>
      </c>
      <c r="C218" s="3">
        <v>109.06</v>
      </c>
      <c r="D218" s="3">
        <v>2.5000000000000001E-2</v>
      </c>
      <c r="E218" s="3">
        <v>120.65</v>
      </c>
      <c r="F218" s="3">
        <v>2.76E-2</v>
      </c>
      <c r="G218" s="3">
        <v>10.63</v>
      </c>
    </row>
    <row r="219" spans="1:7">
      <c r="A219" s="2">
        <v>218</v>
      </c>
      <c r="B219" t="s">
        <v>223</v>
      </c>
      <c r="C219" s="3">
        <v>439.2</v>
      </c>
      <c r="D219" s="3">
        <v>0.10050000000000001</v>
      </c>
      <c r="E219" s="3">
        <v>377.99</v>
      </c>
      <c r="F219" s="3">
        <v>8.6400000000000005E-2</v>
      </c>
      <c r="G219" s="3">
        <v>-13.94</v>
      </c>
    </row>
    <row r="220" spans="1:7">
      <c r="A220" s="2">
        <v>219</v>
      </c>
      <c r="B220" t="s">
        <v>224</v>
      </c>
      <c r="C220" s="3">
        <v>6654.63</v>
      </c>
      <c r="D220" s="3">
        <v>1.5225</v>
      </c>
      <c r="E220" s="3">
        <v>5716.54</v>
      </c>
      <c r="F220" s="3">
        <v>1.306</v>
      </c>
      <c r="G220" s="3">
        <v>-14.1</v>
      </c>
    </row>
    <row r="221" spans="1:7">
      <c r="A221" s="2">
        <v>220</v>
      </c>
      <c r="B221" t="s">
        <v>225</v>
      </c>
      <c r="C221" s="3">
        <v>37.46</v>
      </c>
      <c r="D221" s="3">
        <v>8.6E-3</v>
      </c>
      <c r="E221" s="3">
        <v>54.16</v>
      </c>
      <c r="F221" s="3">
        <v>1.24E-2</v>
      </c>
      <c r="G221" s="3">
        <v>44.6</v>
      </c>
    </row>
    <row r="222" spans="1:7">
      <c r="A222" s="2">
        <v>221</v>
      </c>
      <c r="B222" t="s">
        <v>226</v>
      </c>
      <c r="C222" s="3">
        <v>1.1100000000000001</v>
      </c>
      <c r="D222" s="3">
        <v>2.9999999999999997E-4</v>
      </c>
      <c r="E222" s="3">
        <v>1.72</v>
      </c>
      <c r="F222" s="3">
        <v>4.0000000000000002E-4</v>
      </c>
      <c r="G222" s="3">
        <v>55.05</v>
      </c>
    </row>
    <row r="223" spans="1:7">
      <c r="A223" s="2">
        <v>222</v>
      </c>
      <c r="B223" t="s">
        <v>227</v>
      </c>
      <c r="C223" s="3">
        <v>0.11</v>
      </c>
      <c r="D223" s="3">
        <v>0</v>
      </c>
      <c r="E223" s="3">
        <v>0.01</v>
      </c>
      <c r="F223" s="3">
        <v>0</v>
      </c>
      <c r="G223" s="3">
        <v>-89.27</v>
      </c>
    </row>
    <row r="224" spans="1:7">
      <c r="A224" s="2">
        <v>223</v>
      </c>
      <c r="B224" t="s">
        <v>228</v>
      </c>
      <c r="C224" s="3">
        <v>35625.019999999997</v>
      </c>
      <c r="D224" s="3">
        <v>8.1508000000000003</v>
      </c>
      <c r="E224" s="3">
        <v>36638.019999999997</v>
      </c>
      <c r="F224" s="3">
        <v>8.3704999999999998</v>
      </c>
      <c r="G224" s="3">
        <v>2.84</v>
      </c>
    </row>
    <row r="225" spans="1:7">
      <c r="A225" s="2">
        <v>224</v>
      </c>
      <c r="B225" t="s">
        <v>229</v>
      </c>
      <c r="C225" s="3">
        <v>12922.65</v>
      </c>
      <c r="D225" s="3">
        <v>2.9565999999999999</v>
      </c>
      <c r="E225" s="3">
        <v>14549.95</v>
      </c>
      <c r="F225" s="3">
        <v>3.3241000000000001</v>
      </c>
      <c r="G225" s="3">
        <v>12.59</v>
      </c>
    </row>
    <row r="226" spans="1:7">
      <c r="A226" s="2">
        <v>225</v>
      </c>
      <c r="B226" t="s">
        <v>230</v>
      </c>
      <c r="C226" s="3">
        <v>77515.03</v>
      </c>
      <c r="D226" s="3">
        <v>17.735099999999999</v>
      </c>
      <c r="E226" s="3">
        <v>86514.28</v>
      </c>
      <c r="F226" s="3">
        <v>19.765499999999999</v>
      </c>
      <c r="G226" s="3">
        <v>11.61</v>
      </c>
    </row>
    <row r="227" spans="1:7">
      <c r="A227" s="2">
        <v>226</v>
      </c>
      <c r="B227" t="s">
        <v>231</v>
      </c>
      <c r="C227" s="3">
        <v>508.14</v>
      </c>
      <c r="D227" s="3">
        <v>0.1163</v>
      </c>
      <c r="E227" s="3">
        <v>451.5</v>
      </c>
      <c r="F227" s="3">
        <v>0.1032</v>
      </c>
      <c r="G227" s="3">
        <v>-11.15</v>
      </c>
    </row>
    <row r="228" spans="1:7">
      <c r="A228" s="2">
        <v>227</v>
      </c>
      <c r="B228" t="s">
        <v>232</v>
      </c>
      <c r="C228" s="3">
        <v>173.3</v>
      </c>
      <c r="D228" s="3">
        <v>3.9699999999999999E-2</v>
      </c>
      <c r="E228" s="3">
        <v>187.4</v>
      </c>
      <c r="F228" s="3">
        <v>4.2799999999999998E-2</v>
      </c>
      <c r="G228" s="3">
        <v>8.14</v>
      </c>
    </row>
    <row r="229" spans="1:7">
      <c r="A229" s="2">
        <v>228</v>
      </c>
      <c r="B229" t="s">
        <v>233</v>
      </c>
      <c r="C229" s="3">
        <v>0</v>
      </c>
      <c r="D229" s="3">
        <v>0</v>
      </c>
      <c r="E229" s="3">
        <v>0</v>
      </c>
      <c r="F229" s="3">
        <v>0</v>
      </c>
      <c r="G229" s="3">
        <v>0</v>
      </c>
    </row>
    <row r="230" spans="1:7">
      <c r="A230" s="2">
        <v>229</v>
      </c>
      <c r="B230" t="s">
        <v>234</v>
      </c>
      <c r="C230" s="3">
        <v>2987</v>
      </c>
      <c r="D230" s="3">
        <v>0.68340000000000001</v>
      </c>
      <c r="E230" s="3">
        <v>3579.33</v>
      </c>
      <c r="F230" s="3">
        <v>0.81779999999999997</v>
      </c>
      <c r="G230" s="3">
        <v>19.829999999999998</v>
      </c>
    </row>
    <row r="231" spans="1:7">
      <c r="A231" s="2">
        <v>230</v>
      </c>
      <c r="B231" t="s">
        <v>235</v>
      </c>
      <c r="C231" s="3">
        <v>520.83000000000004</v>
      </c>
      <c r="D231" s="3">
        <v>0.1192</v>
      </c>
      <c r="E231" s="3">
        <v>153.29</v>
      </c>
      <c r="F231" s="3">
        <v>3.5000000000000003E-2</v>
      </c>
      <c r="G231" s="3">
        <v>-70.569999999999993</v>
      </c>
    </row>
    <row r="232" spans="1:7">
      <c r="A232" s="2">
        <v>231</v>
      </c>
      <c r="B232" t="s">
        <v>236</v>
      </c>
      <c r="C232" s="3">
        <v>0.3</v>
      </c>
      <c r="D232" s="3">
        <v>1E-4</v>
      </c>
      <c r="E232" s="3">
        <v>0.59</v>
      </c>
      <c r="F232" s="3">
        <v>1E-4</v>
      </c>
      <c r="G232" s="3">
        <v>95.94</v>
      </c>
    </row>
    <row r="233" spans="1:7">
      <c r="A233" s="2">
        <v>232</v>
      </c>
      <c r="B233" t="s">
        <v>237</v>
      </c>
      <c r="C233" s="3">
        <v>372.56</v>
      </c>
      <c r="D233" s="3">
        <v>8.5199999999999998E-2</v>
      </c>
      <c r="E233" s="3">
        <v>517.72</v>
      </c>
      <c r="F233" s="3">
        <v>0.1183</v>
      </c>
      <c r="G233" s="3">
        <v>38.97</v>
      </c>
    </row>
    <row r="234" spans="1:7">
      <c r="A234" s="2">
        <v>233</v>
      </c>
      <c r="B234" t="s">
        <v>238</v>
      </c>
      <c r="C234" s="3">
        <v>3.92</v>
      </c>
      <c r="D234" s="3">
        <v>8.9999999999999998E-4</v>
      </c>
      <c r="E234" s="3">
        <v>3.75</v>
      </c>
      <c r="F234" s="3">
        <v>8.9999999999999998E-4</v>
      </c>
      <c r="G234" s="3">
        <v>-4.3899999999999997</v>
      </c>
    </row>
    <row r="235" spans="1:7">
      <c r="A235" s="2">
        <v>234</v>
      </c>
      <c r="B235" t="s">
        <v>239</v>
      </c>
      <c r="C235" s="3">
        <v>0.09</v>
      </c>
      <c r="D235" s="3">
        <v>0</v>
      </c>
      <c r="E235" s="3">
        <v>0</v>
      </c>
      <c r="F235" s="3">
        <v>0</v>
      </c>
      <c r="G235" s="3">
        <v>0</v>
      </c>
    </row>
    <row r="236" spans="1:7">
      <c r="A236" s="2">
        <v>235</v>
      </c>
      <c r="B236" t="s">
        <v>240</v>
      </c>
      <c r="C236" s="3">
        <v>175.33</v>
      </c>
      <c r="D236" s="3">
        <v>4.0099999999999997E-2</v>
      </c>
      <c r="E236" s="3">
        <v>216.99</v>
      </c>
      <c r="F236" s="3">
        <v>4.9599999999999998E-2</v>
      </c>
      <c r="G236" s="3">
        <v>23.76</v>
      </c>
    </row>
    <row r="237" spans="1:7">
      <c r="A237" s="2">
        <v>236</v>
      </c>
      <c r="B237" t="s">
        <v>241</v>
      </c>
      <c r="C237" s="3">
        <v>5470.15</v>
      </c>
      <c r="D237" s="3">
        <v>1.2515000000000001</v>
      </c>
      <c r="E237" s="3">
        <v>5428.92</v>
      </c>
      <c r="F237" s="3">
        <v>1.2403</v>
      </c>
      <c r="G237" s="3">
        <v>-0.75</v>
      </c>
    </row>
    <row r="238" spans="1:7">
      <c r="A238" s="2">
        <v>237</v>
      </c>
      <c r="B238" t="s">
        <v>242</v>
      </c>
      <c r="C238" s="3">
        <v>5.83</v>
      </c>
      <c r="D238" s="3">
        <v>1.2999999999999999E-3</v>
      </c>
      <c r="E238" s="3">
        <v>4.7300000000000004</v>
      </c>
      <c r="F238" s="3">
        <v>1.1000000000000001E-3</v>
      </c>
      <c r="G238" s="3">
        <v>-18.79</v>
      </c>
    </row>
    <row r="239" spans="1:7">
      <c r="A239" s="2">
        <v>238</v>
      </c>
      <c r="B239" t="s">
        <v>243</v>
      </c>
      <c r="C239" s="3">
        <v>875.98</v>
      </c>
      <c r="D239" s="3">
        <v>0.20039999999999999</v>
      </c>
      <c r="E239" s="3">
        <v>855.7</v>
      </c>
      <c r="F239" s="3">
        <v>0.19550000000000001</v>
      </c>
      <c r="G239" s="3">
        <v>-2.31</v>
      </c>
    </row>
    <row r="240" spans="1:7">
      <c r="A240" s="2">
        <v>239</v>
      </c>
      <c r="B240" t="s">
        <v>244</v>
      </c>
      <c r="C240" s="3">
        <v>244.31</v>
      </c>
      <c r="D240" s="3">
        <v>5.5899999999999998E-2</v>
      </c>
      <c r="E240" s="3">
        <v>212.56</v>
      </c>
      <c r="F240" s="3">
        <v>4.8599999999999997E-2</v>
      </c>
      <c r="G240" s="3">
        <v>-13</v>
      </c>
    </row>
    <row r="241" spans="1:7">
      <c r="A241" s="2">
        <v>240</v>
      </c>
      <c r="B241" t="s">
        <v>245</v>
      </c>
      <c r="C241" s="3">
        <v>152.37</v>
      </c>
      <c r="D241" s="3">
        <v>3.49E-2</v>
      </c>
      <c r="E241" s="3">
        <v>149.31</v>
      </c>
      <c r="F241" s="3">
        <v>3.4099999999999998E-2</v>
      </c>
      <c r="G241" s="3">
        <v>-2.0099999999999998</v>
      </c>
    </row>
  </sheetData>
  <conditionalFormatting sqref="B1:B1048576">
    <cfRule type="duplicateValues" dxfId="1" priority="1"/>
    <cfRule type="duplicateValues" dxfId="0" priority="2"/>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Top10_Barchart</vt:lpstr>
      <vt:lpstr>Dashboard</vt:lpstr>
      <vt:lpstr>Top_5_Export_Share</vt:lpstr>
      <vt:lpstr>Export_Comparision</vt:lpstr>
      <vt:lpstr>Slicer_Test</vt:lpstr>
      <vt:lpstr>KPI_Data</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Niharika Bari</dc:creator>
  <cp:lastModifiedBy>Niharika Bari</cp:lastModifiedBy>
  <cp:lastPrinted>2026-04-05T07:19:18Z</cp:lastPrinted>
  <dcterms:created xsi:type="dcterms:W3CDTF">2026-04-05T07:33:03Z</dcterms:created>
  <dcterms:modified xsi:type="dcterms:W3CDTF">2026-04-05T07:40:30Z</dcterms:modified>
</cp:coreProperties>
</file>